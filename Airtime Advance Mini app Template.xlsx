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dafone-my.sharepoint.com/personal/nikhil_lakha_vodacom_co_za/Documents/Documents/Month end reports/Month End Excel Templates/"/>
    </mc:Choice>
  </mc:AlternateContent>
  <xr:revisionPtr revIDLastSave="180" documentId="8_{47ED8D92-0E42-47BA-A496-CBD339A7D81B}" xr6:coauthVersionLast="47" xr6:coauthVersionMax="47" xr10:uidLastSave="{0D374904-97D7-4DAB-A19C-37015DCEB817}"/>
  <bookViews>
    <workbookView xWindow="19090" yWindow="-110" windowWidth="19420" windowHeight="10300" activeTab="3" xr2:uid="{5E50BDF3-B1A8-431B-A74D-68D20C7C7CE9}"/>
  </bookViews>
  <sheets>
    <sheet name="Overview" sheetId="1" r:id="rId1"/>
    <sheet name="Journey ANalytics" sheetId="3" r:id="rId2"/>
    <sheet name="Entry Point" sheetId="2" r:id="rId3"/>
    <sheet name="Product Performance" sheetId="6" r:id="rId4"/>
  </sheets>
  <definedNames>
    <definedName name="_xlnm._FilterDatabase" localSheetId="1" hidden="1">'Journey ANalytics'!$A$2:$D$8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" i="6" l="1"/>
  <c r="W5" i="6"/>
  <c r="V6" i="6"/>
  <c r="W6" i="6"/>
  <c r="V7" i="6"/>
  <c r="W7" i="6"/>
  <c r="V8" i="6"/>
  <c r="W8" i="6"/>
  <c r="V9" i="6"/>
  <c r="W9" i="6"/>
  <c r="V10" i="6"/>
  <c r="W10" i="6"/>
  <c r="V11" i="6"/>
  <c r="W11" i="6"/>
  <c r="V12" i="6"/>
  <c r="W12" i="6"/>
  <c r="W4" i="6"/>
  <c r="V4" i="6"/>
  <c r="N5" i="6"/>
  <c r="O5" i="6"/>
  <c r="N6" i="6"/>
  <c r="O6" i="6"/>
  <c r="N7" i="6"/>
  <c r="O7" i="6"/>
  <c r="N8" i="6"/>
  <c r="O8" i="6"/>
  <c r="N9" i="6"/>
  <c r="O9" i="6"/>
  <c r="N10" i="6"/>
  <c r="O10" i="6"/>
  <c r="N11" i="6"/>
  <c r="O11" i="6"/>
  <c r="N12" i="6"/>
  <c r="O12" i="6"/>
  <c r="N13" i="6"/>
  <c r="O13" i="6"/>
  <c r="N4" i="6"/>
  <c r="O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G4" i="6"/>
  <c r="F4" i="6"/>
  <c r="E6" i="2"/>
  <c r="F6" i="2"/>
  <c r="E7" i="2"/>
  <c r="F7" i="2"/>
  <c r="O3" i="3"/>
  <c r="P3" i="3"/>
  <c r="O4" i="3"/>
  <c r="P4" i="3"/>
  <c r="O5" i="3"/>
  <c r="P5" i="3"/>
  <c r="O6" i="3"/>
  <c r="P6" i="3"/>
  <c r="N4" i="3"/>
  <c r="N5" i="3"/>
  <c r="N6" i="3"/>
  <c r="N3" i="3"/>
  <c r="K4" i="3"/>
  <c r="L4" i="3"/>
  <c r="K5" i="3"/>
  <c r="L5" i="3"/>
  <c r="K6" i="3"/>
  <c r="L6" i="3"/>
  <c r="K3" i="3"/>
  <c r="E3" i="3"/>
  <c r="J8" i="3"/>
  <c r="I8" i="3"/>
  <c r="H8" i="3"/>
  <c r="M6" i="3"/>
  <c r="M5" i="3"/>
  <c r="M4" i="3"/>
  <c r="M3" i="3"/>
  <c r="L3" i="3"/>
  <c r="B8" i="3"/>
  <c r="D8" i="3"/>
  <c r="C8" i="3"/>
  <c r="C5" i="1"/>
  <c r="D5" i="1"/>
  <c r="E5" i="1"/>
  <c r="B5" i="1"/>
  <c r="F3" i="1"/>
  <c r="F2" i="1"/>
  <c r="F5" i="1" s="1"/>
  <c r="E4" i="3"/>
  <c r="F4" i="3"/>
  <c r="G4" i="3"/>
  <c r="E5" i="3"/>
  <c r="F5" i="3"/>
  <c r="G5" i="3"/>
  <c r="E6" i="3"/>
  <c r="F6" i="3"/>
  <c r="G6" i="3"/>
  <c r="F3" i="3"/>
  <c r="G3" i="3"/>
  <c r="E3" i="2"/>
  <c r="E4" i="2"/>
  <c r="E5" i="2"/>
  <c r="E2" i="2"/>
  <c r="F3" i="2"/>
  <c r="F4" i="2"/>
  <c r="F5" i="2"/>
  <c r="F2" i="2"/>
</calcChain>
</file>

<file path=xl/sharedStrings.xml><?xml version="1.0" encoding="utf-8"?>
<sst xmlns="http://schemas.openxmlformats.org/spreadsheetml/2006/main" count="179" uniqueCount="136">
  <si>
    <t>2 months ago</t>
  </si>
  <si>
    <t>Last month</t>
  </si>
  <si>
    <t>Period</t>
  </si>
  <si>
    <t>Visits</t>
  </si>
  <si>
    <t>Starts</t>
  </si>
  <si>
    <t>Orders</t>
  </si>
  <si>
    <t>GMV</t>
  </si>
  <si>
    <t>Completion Rate</t>
  </si>
  <si>
    <t>vodapay: home: recharge: airtime advance</t>
  </si>
  <si>
    <t>vodapay: home: airtimeadvance: airtime</t>
  </si>
  <si>
    <t>vodapay:  buy: landing page: buy airtime and bundles: airtime advance</t>
  </si>
  <si>
    <t>vodapay: home: airtimeadvance: data</t>
  </si>
  <si>
    <t>vodapay: home: airtimeadvance: voice</t>
  </si>
  <si>
    <t>Link Name</t>
  </si>
  <si>
    <t>Clicks</t>
  </si>
  <si>
    <t>Session to Conversion Rate</t>
  </si>
  <si>
    <t>Click to Session</t>
  </si>
  <si>
    <t>Step 1 - Airtime Advance - Product View</t>
  </si>
  <si>
    <t>Step 3 - Airtime Advance - Payment Summary</t>
  </si>
  <si>
    <t>Step 2 - Airtime Advance - Product Selection</t>
  </si>
  <si>
    <t>Step 4 - Airtime Advance - Payment Success</t>
  </si>
  <si>
    <t>Steps</t>
  </si>
  <si>
    <t>Airtime</t>
  </si>
  <si>
    <t>Data</t>
  </si>
  <si>
    <t>Voice</t>
  </si>
  <si>
    <t>Last Month</t>
  </si>
  <si>
    <t>2 Months Ago</t>
  </si>
  <si>
    <t>Change</t>
  </si>
  <si>
    <t>Airtime %</t>
  </si>
  <si>
    <t>Data %</t>
  </si>
  <si>
    <t>Voice %</t>
  </si>
  <si>
    <t>vodapay: home: recharge &amp; pay bill: airtime advance</t>
  </si>
  <si>
    <t>r10 airtime</t>
  </si>
  <si>
    <t>r3 airtime</t>
  </si>
  <si>
    <t>r5 airtime</t>
  </si>
  <si>
    <t>r15 airtime</t>
  </si>
  <si>
    <t>r20 airtime</t>
  </si>
  <si>
    <t>r50 airtime</t>
  </si>
  <si>
    <t>r30 airtime</t>
  </si>
  <si>
    <t>r45 airtime</t>
  </si>
  <si>
    <t>r25 airtime</t>
  </si>
  <si>
    <t>r40 airtime</t>
  </si>
  <si>
    <t>r55 airtime</t>
  </si>
  <si>
    <t>r35 airtime</t>
  </si>
  <si>
    <t>r60 airtime</t>
  </si>
  <si>
    <t>r100 airtime</t>
  </si>
  <si>
    <t>r75 airtime</t>
  </si>
  <si>
    <t>r65 airtime</t>
  </si>
  <si>
    <t>r90 airtime</t>
  </si>
  <si>
    <t>r70 airtime</t>
  </si>
  <si>
    <t>r150 airtime</t>
  </si>
  <si>
    <t>r200 airtime</t>
  </si>
  <si>
    <t>r95 airtime</t>
  </si>
  <si>
    <t>r125 airtime</t>
  </si>
  <si>
    <t>r85 airtime</t>
  </si>
  <si>
    <t>r80 airtime</t>
  </si>
  <si>
    <t>r175 airtime</t>
  </si>
  <si>
    <t>r400 airtime</t>
  </si>
  <si>
    <t>r105 airtime</t>
  </si>
  <si>
    <t>r300 airtime</t>
  </si>
  <si>
    <t>r110 airtime</t>
  </si>
  <si>
    <t>r115 airtime</t>
  </si>
  <si>
    <t>r250 airtime</t>
  </si>
  <si>
    <t>r120 airtime</t>
  </si>
  <si>
    <t>r135 airtime</t>
  </si>
  <si>
    <t>r350 airtime</t>
  </si>
  <si>
    <t>r170 airtime</t>
  </si>
  <si>
    <t>r190 airtime</t>
  </si>
  <si>
    <t>r130 airtime</t>
  </si>
  <si>
    <t>r165 airtime</t>
  </si>
  <si>
    <t>r140 airtime</t>
  </si>
  <si>
    <t>r180 airtime</t>
  </si>
  <si>
    <t>r145 airtime</t>
  </si>
  <si>
    <t>r225 airtime</t>
  </si>
  <si>
    <t>r265 airtime</t>
  </si>
  <si>
    <t>r160 airtime</t>
  </si>
  <si>
    <t>r155 airtime</t>
  </si>
  <si>
    <t>r195 airtime</t>
  </si>
  <si>
    <t>r185 airtime</t>
  </si>
  <si>
    <t>r255 airtime</t>
  </si>
  <si>
    <t>r210 airtime</t>
  </si>
  <si>
    <t>r245 airtime</t>
  </si>
  <si>
    <t>r260 airtime</t>
  </si>
  <si>
    <t>r205 airtime</t>
  </si>
  <si>
    <t>r220 airtime</t>
  </si>
  <si>
    <t>r240 airtime</t>
  </si>
  <si>
    <t>r270 airtime</t>
  </si>
  <si>
    <t>r235 airtime</t>
  </si>
  <si>
    <t>r215 airtime</t>
  </si>
  <si>
    <t>r230 airtime</t>
  </si>
  <si>
    <t>r285 airtime</t>
  </si>
  <si>
    <t>r280 airtime</t>
  </si>
  <si>
    <t>r295 airtime</t>
  </si>
  <si>
    <t>r275 airtime</t>
  </si>
  <si>
    <t>r290 airtime</t>
  </si>
  <si>
    <t>r390 airtime</t>
  </si>
  <si>
    <t>r310 airtime</t>
  </si>
  <si>
    <t>r340 airtime</t>
  </si>
  <si>
    <t>r360 airtime</t>
  </si>
  <si>
    <t>r305 airtime</t>
  </si>
  <si>
    <t>r330 airtime</t>
  </si>
  <si>
    <t>r380 airtime</t>
  </si>
  <si>
    <t>r335 airtime</t>
  </si>
  <si>
    <t>r395 airtime</t>
  </si>
  <si>
    <t>r355 airtime</t>
  </si>
  <si>
    <t>r320 airtime</t>
  </si>
  <si>
    <t>r325 airtime</t>
  </si>
  <si>
    <t>r370 airtime</t>
  </si>
  <si>
    <t>r345 airtime</t>
  </si>
  <si>
    <t>r385 airtime</t>
  </si>
  <si>
    <t>r315 airtime</t>
  </si>
  <si>
    <t>r375 airtime</t>
  </si>
  <si>
    <t>r365 airtime</t>
  </si>
  <si>
    <t>Airtime Advance</t>
  </si>
  <si>
    <t>Products</t>
  </si>
  <si>
    <t>Voice Advance</t>
  </si>
  <si>
    <t>60 min for r12.00</t>
  </si>
  <si>
    <t>unlimited min for r15.00</t>
  </si>
  <si>
    <t>60 min for r8.00 (vodacom to vodacom)</t>
  </si>
  <si>
    <t>unlimited min for r10.00 (vodacom to vodacom)</t>
  </si>
  <si>
    <t>20 min for r4.00 (vodacom to vodacom)</t>
  </si>
  <si>
    <t>15 min for r3.00 (vodacom to vodacom)</t>
  </si>
  <si>
    <t>35 min for r6.00 (vodacom to vodacom)</t>
  </si>
  <si>
    <t>30 min for r5.00 (vodacom to vodacom)</t>
  </si>
  <si>
    <t>150 min for r12.00 (vodacom to vodacom)</t>
  </si>
  <si>
    <t>80 min for r10.00 (vodacom to vodacom)</t>
  </si>
  <si>
    <t>Data Advance</t>
  </si>
  <si>
    <t>500mb for r10.00</t>
  </si>
  <si>
    <t>200mb for r5.00</t>
  </si>
  <si>
    <t>3gb for r32.00</t>
  </si>
  <si>
    <t>100mb for r3.00</t>
  </si>
  <si>
    <t>300mb for r19.00</t>
  </si>
  <si>
    <t>35mb for r5.00</t>
  </si>
  <si>
    <t>20mb for r3.00</t>
  </si>
  <si>
    <t>120mb for r13.00</t>
  </si>
  <si>
    <t>75mb for r10.00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</si>
</sst>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&quot;#,##0.00;[Red]\-&quot;R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10" fontId="0" fillId="0" borderId="0" xfId="0" applyNumberFormat="1"/>
    <xf numFmtId="8" fontId="0" fillId="0" borderId="0" xfId="0" applyNumberFormat="1"/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2060B-9D6F-436B-B222-62B6266ADB1B}">
  <dimension ref="A1:F5"/>
  <sheetViews>
    <sheetView workbookViewId="0">
      <selection activeCell="C10" sqref="C10"/>
    </sheetView>
  </sheetViews>
  <sheetFormatPr defaultRowHeight="14.5" x14ac:dyDescent="0.35"/>
  <cols>
    <col min="1" max="1" width="11.54296875" bestFit="1" customWidth="1"/>
    <col min="2" max="4" width="12.453125" bestFit="1" customWidth="1"/>
    <col min="5" max="5" width="13.26953125" bestFit="1" customWidth="1"/>
    <col min="6" max="6" width="14.36328125" bestFit="1" customWidth="1"/>
  </cols>
  <sheetData>
    <row r="1" spans="1:6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5">
      <c r="A2" t="s">
        <v>1</v>
      </c>
      <c r="B2">
        <v>3448735</v>
      </c>
      <c r="C2">
        <v>1625599</v>
      </c>
      <c r="D2">
        <v>1044392</v>
      </c>
      <c r="E2" s="3">
        <v>23669092</v>
      </c>
      <c r="F2" s="2">
        <f>D2/C2</f>
        <v>0.64246594639883514</v>
      </c>
    </row>
    <row r="3" spans="1:6" x14ac:dyDescent="0.35">
      <c r="A3" t="s">
        <v>0</v>
      </c>
      <c r="B3">
        <v>3419145</v>
      </c>
      <c r="C3">
        <v>1472017</v>
      </c>
      <c r="D3">
        <v>929948</v>
      </c>
      <c r="E3" s="3">
        <v>22409539</v>
      </c>
      <c r="F3" s="2">
        <f>D3/C3</f>
        <v>0.63175085613821036</v>
      </c>
    </row>
    <row r="4" spans="1:6" x14ac:dyDescent="0.35">
      <c r="E4" s="3"/>
    </row>
    <row r="5" spans="1:6" x14ac:dyDescent="0.35">
      <c r="B5" s="1">
        <f>(B2-B3)/B3</f>
        <v>8.654210336209783E-3</v>
      </c>
      <c r="C5" s="1">
        <f t="shared" ref="C5:E5" si="0">(C2-C3)/C3</f>
        <v>0.10433439287725617</v>
      </c>
      <c r="D5" s="1">
        <f t="shared" si="0"/>
        <v>0.1230649455668489</v>
      </c>
      <c r="E5" s="1">
        <f t="shared" si="0"/>
        <v>5.6206109371549323E-2</v>
      </c>
      <c r="F5" s="1">
        <f>F2-F3</f>
        <v>1.0715090260624782E-2</v>
      </c>
    </row>
  </sheetData>
  <pageMargins left="0.7" right="0.7" top="0.75" bottom="0.75" header="0.3" footer="0.3"/>
  <headerFooter>
    <oddFooter>&amp;L_x000D_&amp;1#&amp;"Aptos"&amp;7&amp;K000000 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1A7E-60B3-4FA3-B28D-E26E26AB54C8}">
  <dimension ref="A1:P8"/>
  <sheetViews>
    <sheetView topLeftCell="B1" workbookViewId="0">
      <selection activeCell="H12" sqref="H12"/>
    </sheetView>
  </sheetViews>
  <sheetFormatPr defaultRowHeight="14.5" x14ac:dyDescent="0.35"/>
  <cols>
    <col min="1" max="1" width="37.1796875" bestFit="1" customWidth="1"/>
    <col min="2" max="2" width="7.81640625" bestFit="1" customWidth="1"/>
    <col min="3" max="4" width="6.81640625" bestFit="1" customWidth="1"/>
    <col min="5" max="5" width="8.54296875" bestFit="1" customWidth="1"/>
    <col min="6" max="6" width="6.6328125" bestFit="1" customWidth="1"/>
    <col min="7" max="7" width="7.26953125" bestFit="1" customWidth="1"/>
    <col min="8" max="10" width="6.81640625" bestFit="1" customWidth="1"/>
    <col min="11" max="11" width="10.36328125" bestFit="1" customWidth="1"/>
    <col min="12" max="12" width="6.6328125" bestFit="1" customWidth="1"/>
    <col min="13" max="13" width="7.26953125" bestFit="1" customWidth="1"/>
  </cols>
  <sheetData>
    <row r="1" spans="1:16" x14ac:dyDescent="0.35">
      <c r="B1" s="6" t="s">
        <v>25</v>
      </c>
      <c r="C1" s="6"/>
      <c r="D1" s="6"/>
      <c r="E1" s="6"/>
      <c r="F1" s="6"/>
      <c r="G1" s="6"/>
      <c r="H1" s="6" t="s">
        <v>26</v>
      </c>
      <c r="I1" s="6"/>
      <c r="J1" s="6"/>
      <c r="K1" s="6"/>
      <c r="L1" s="6"/>
      <c r="M1" s="6"/>
      <c r="N1" s="6" t="s">
        <v>27</v>
      </c>
      <c r="O1" s="6"/>
      <c r="P1" s="6"/>
    </row>
    <row r="2" spans="1:16" x14ac:dyDescent="0.35">
      <c r="A2" t="s">
        <v>21</v>
      </c>
      <c r="B2" t="s">
        <v>22</v>
      </c>
      <c r="C2" t="s">
        <v>23</v>
      </c>
      <c r="D2" t="s">
        <v>24</v>
      </c>
      <c r="E2" t="s">
        <v>28</v>
      </c>
      <c r="F2" t="s">
        <v>29</v>
      </c>
      <c r="G2" t="s">
        <v>30</v>
      </c>
      <c r="H2" t="s">
        <v>22</v>
      </c>
      <c r="I2" t="s">
        <v>23</v>
      </c>
      <c r="J2" t="s">
        <v>24</v>
      </c>
      <c r="K2" t="s">
        <v>28</v>
      </c>
      <c r="L2" t="s">
        <v>29</v>
      </c>
      <c r="M2" t="s">
        <v>30</v>
      </c>
      <c r="N2" t="s">
        <v>22</v>
      </c>
      <c r="O2" t="s">
        <v>23</v>
      </c>
      <c r="P2" t="s">
        <v>24</v>
      </c>
    </row>
    <row r="3" spans="1:16" x14ac:dyDescent="0.35">
      <c r="A3" t="s">
        <v>17</v>
      </c>
      <c r="B3">
        <v>1010578</v>
      </c>
      <c r="C3">
        <v>460121</v>
      </c>
      <c r="D3">
        <v>150358</v>
      </c>
      <c r="E3" s="1">
        <f>B4/B3</f>
        <v>0.76798228340612995</v>
      </c>
      <c r="F3" s="1">
        <f t="shared" ref="F3:G3" si="0">C4/C3</f>
        <v>0.31224177987964036</v>
      </c>
      <c r="G3" s="1">
        <f t="shared" si="0"/>
        <v>0.56239109325742564</v>
      </c>
      <c r="H3">
        <v>983324</v>
      </c>
      <c r="I3">
        <v>369780</v>
      </c>
      <c r="J3">
        <v>140259</v>
      </c>
      <c r="K3" s="1">
        <f t="shared" ref="K3:L6" si="1">H4/H3</f>
        <v>0.77032798955379911</v>
      </c>
      <c r="L3" s="1">
        <f t="shared" si="1"/>
        <v>0.16119584617880903</v>
      </c>
      <c r="M3" s="1">
        <f t="shared" ref="M3:M6" si="2">J4/J3</f>
        <v>0.51128982810372237</v>
      </c>
      <c r="N3" s="1">
        <f>E3-K3</f>
        <v>-2.3457061476691576E-3</v>
      </c>
      <c r="O3" s="1">
        <f t="shared" ref="O3:P6" si="3">F3-L3</f>
        <v>0.15104593370083133</v>
      </c>
      <c r="P3" s="1">
        <f t="shared" si="3"/>
        <v>5.1101265153703279E-2</v>
      </c>
    </row>
    <row r="4" spans="1:16" x14ac:dyDescent="0.35">
      <c r="A4" t="s">
        <v>19</v>
      </c>
      <c r="B4">
        <v>776106</v>
      </c>
      <c r="C4">
        <v>143669</v>
      </c>
      <c r="D4">
        <v>84560</v>
      </c>
      <c r="E4" s="1">
        <f t="shared" ref="E4:E6" si="4">B5/B4</f>
        <v>0.99142771734788804</v>
      </c>
      <c r="F4" s="1">
        <f t="shared" ref="F4:F6" si="5">C5/C4</f>
        <v>0.9613347347026846</v>
      </c>
      <c r="G4" s="1">
        <f t="shared" ref="G4:G6" si="6">D5/D4</f>
        <v>0.99587275307473988</v>
      </c>
      <c r="H4">
        <v>757482</v>
      </c>
      <c r="I4">
        <v>59607</v>
      </c>
      <c r="J4">
        <v>71713</v>
      </c>
      <c r="K4" s="1">
        <f t="shared" ref="K4:K6" si="7">H5/H4</f>
        <v>0.99294240655223487</v>
      </c>
      <c r="L4" s="1">
        <f t="shared" ref="L4:L6" si="8">I5/I4</f>
        <v>0.9518345160803261</v>
      </c>
      <c r="M4" s="1">
        <f t="shared" si="2"/>
        <v>0.99810355165730058</v>
      </c>
      <c r="N4" s="1">
        <f t="shared" ref="N4:N6" si="9">E4-K4</f>
        <v>-1.5146892043468307E-3</v>
      </c>
      <c r="O4" s="1">
        <f t="shared" si="3"/>
        <v>9.5002186223585028E-3</v>
      </c>
      <c r="P4" s="1">
        <f t="shared" si="3"/>
        <v>-2.2307985825607002E-3</v>
      </c>
    </row>
    <row r="5" spans="1:16" x14ac:dyDescent="0.35">
      <c r="A5" t="s">
        <v>18</v>
      </c>
      <c r="B5">
        <v>769453</v>
      </c>
      <c r="C5">
        <v>138114</v>
      </c>
      <c r="D5">
        <v>84211</v>
      </c>
      <c r="E5" s="1">
        <f t="shared" si="4"/>
        <v>0.90341320392538593</v>
      </c>
      <c r="F5" s="1">
        <f t="shared" si="5"/>
        <v>0.78852252487075891</v>
      </c>
      <c r="G5" s="1">
        <f t="shared" si="6"/>
        <v>0.77073066464001139</v>
      </c>
      <c r="H5">
        <v>752136</v>
      </c>
      <c r="I5">
        <v>56736</v>
      </c>
      <c r="J5">
        <v>71577</v>
      </c>
      <c r="K5" s="1">
        <f t="shared" si="7"/>
        <v>0.90553836008381461</v>
      </c>
      <c r="L5" s="1">
        <f t="shared" si="8"/>
        <v>0.72780950366610264</v>
      </c>
      <c r="M5" s="1">
        <f t="shared" si="2"/>
        <v>0.73882671807983014</v>
      </c>
      <c r="N5" s="1">
        <f t="shared" si="9"/>
        <v>-2.125156158428676E-3</v>
      </c>
      <c r="O5" s="1">
        <f t="shared" si="3"/>
        <v>6.071302120465627E-2</v>
      </c>
      <c r="P5" s="1">
        <f t="shared" si="3"/>
        <v>3.1903946560181251E-2</v>
      </c>
    </row>
    <row r="6" spans="1:16" x14ac:dyDescent="0.35">
      <c r="A6" t="s">
        <v>20</v>
      </c>
      <c r="B6">
        <v>695134</v>
      </c>
      <c r="C6">
        <v>108906</v>
      </c>
      <c r="D6">
        <v>64904</v>
      </c>
      <c r="E6" s="1">
        <f t="shared" si="4"/>
        <v>0</v>
      </c>
      <c r="F6" s="1">
        <f t="shared" si="5"/>
        <v>0</v>
      </c>
      <c r="G6" s="1">
        <f t="shared" si="6"/>
        <v>0</v>
      </c>
      <c r="H6">
        <v>681088</v>
      </c>
      <c r="I6">
        <v>41293</v>
      </c>
      <c r="J6">
        <v>52883</v>
      </c>
      <c r="K6" s="1">
        <f t="shared" si="7"/>
        <v>0</v>
      </c>
      <c r="L6" s="1">
        <f t="shared" si="8"/>
        <v>0</v>
      </c>
      <c r="M6" s="1">
        <f t="shared" si="2"/>
        <v>0</v>
      </c>
      <c r="N6" s="1">
        <f t="shared" si="9"/>
        <v>0</v>
      </c>
      <c r="O6" s="1">
        <f t="shared" si="3"/>
        <v>0</v>
      </c>
      <c r="P6" s="1">
        <f t="shared" si="3"/>
        <v>0</v>
      </c>
    </row>
    <row r="8" spans="1:16" x14ac:dyDescent="0.35">
      <c r="B8" s="1">
        <f>B6/B3</f>
        <v>0.68785783977090342</v>
      </c>
      <c r="C8" s="1">
        <f t="shared" ref="C8:D8" si="10">C6/C3</f>
        <v>0.23668991417474969</v>
      </c>
      <c r="D8" s="1">
        <f t="shared" si="10"/>
        <v>0.43166309740752073</v>
      </c>
      <c r="H8" s="1">
        <f>H6/H3</f>
        <v>0.69263843860212915</v>
      </c>
      <c r="I8" s="1">
        <f t="shared" ref="I8:J8" si="11">I6/I3</f>
        <v>0.11166910054627076</v>
      </c>
      <c r="J8" s="1">
        <f t="shared" si="11"/>
        <v>0.3770381936275034</v>
      </c>
    </row>
  </sheetData>
  <mergeCells count="3">
    <mergeCell ref="B1:G1"/>
    <mergeCell ref="H1:M1"/>
    <mergeCell ref="N1:P1"/>
  </mergeCells>
  <pageMargins left="0.7" right="0.7" top="0.75" bottom="0.75" header="0.3" footer="0.3"/>
  <headerFooter>
    <oddFooter>&amp;L_x000D_&amp;1#&amp;"Aptos"&amp;7&amp;K000000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59BCC-DBBB-48D7-96B6-7F4D48323FD6}">
  <dimension ref="A1:F7"/>
  <sheetViews>
    <sheetView workbookViewId="0">
      <selection activeCell="D10" sqref="D10"/>
    </sheetView>
  </sheetViews>
  <sheetFormatPr defaultRowHeight="14.5" x14ac:dyDescent="0.35"/>
  <cols>
    <col min="1" max="1" width="59" bestFit="1" customWidth="1"/>
    <col min="5" max="5" width="13.6328125" style="1" bestFit="1" customWidth="1"/>
    <col min="6" max="6" width="22.90625" style="1" bestFit="1" customWidth="1"/>
  </cols>
  <sheetData>
    <row r="1" spans="1:6" x14ac:dyDescent="0.35">
      <c r="A1" t="s">
        <v>13</v>
      </c>
      <c r="B1" t="s">
        <v>14</v>
      </c>
      <c r="C1" t="s">
        <v>3</v>
      </c>
      <c r="D1" t="s">
        <v>5</v>
      </c>
      <c r="E1" s="1" t="s">
        <v>16</v>
      </c>
      <c r="F1" s="1" t="s">
        <v>15</v>
      </c>
    </row>
    <row r="2" spans="1:6" x14ac:dyDescent="0.35">
      <c r="A2" t="s">
        <v>8</v>
      </c>
      <c r="B2">
        <v>810546</v>
      </c>
      <c r="C2">
        <v>613287</v>
      </c>
      <c r="D2">
        <v>227211</v>
      </c>
      <c r="E2" s="1">
        <f>C2/B2</f>
        <v>0.75663441680052701</v>
      </c>
      <c r="F2" s="1">
        <f>D2/C2</f>
        <v>0.37048070479237288</v>
      </c>
    </row>
    <row r="3" spans="1:6" x14ac:dyDescent="0.35">
      <c r="A3" t="s">
        <v>10</v>
      </c>
      <c r="B3">
        <v>698441</v>
      </c>
      <c r="C3">
        <v>689343</v>
      </c>
      <c r="D3">
        <v>137781</v>
      </c>
      <c r="E3" s="1">
        <f t="shared" ref="E3:E5" si="0">C3/B3</f>
        <v>0.98697384603710259</v>
      </c>
      <c r="F3" s="1">
        <f t="shared" ref="F3:F5" si="1">D3/C3</f>
        <v>0.19987292247835983</v>
      </c>
    </row>
    <row r="4" spans="1:6" x14ac:dyDescent="0.35">
      <c r="A4" t="s">
        <v>9</v>
      </c>
      <c r="B4">
        <v>457996</v>
      </c>
      <c r="C4">
        <v>357761</v>
      </c>
      <c r="D4">
        <v>228344</v>
      </c>
      <c r="E4" s="1">
        <f t="shared" si="0"/>
        <v>0.78114437680678439</v>
      </c>
      <c r="F4" s="1">
        <f t="shared" si="1"/>
        <v>0.63825850218441915</v>
      </c>
    </row>
    <row r="5" spans="1:6" x14ac:dyDescent="0.35">
      <c r="A5" t="s">
        <v>11</v>
      </c>
      <c r="B5">
        <v>282983</v>
      </c>
      <c r="C5">
        <v>197029</v>
      </c>
      <c r="D5">
        <v>54070</v>
      </c>
      <c r="E5" s="1">
        <f t="shared" si="0"/>
        <v>0.69625737235098928</v>
      </c>
      <c r="F5" s="1">
        <f t="shared" si="1"/>
        <v>0.27442660725070928</v>
      </c>
    </row>
    <row r="6" spans="1:6" x14ac:dyDescent="0.35">
      <c r="A6" t="s">
        <v>12</v>
      </c>
      <c r="B6">
        <v>25760</v>
      </c>
      <c r="C6">
        <v>21839</v>
      </c>
      <c r="D6">
        <v>7134</v>
      </c>
      <c r="E6" s="1">
        <f t="shared" ref="E6:E7" si="2">C6/B6</f>
        <v>0.84778726708074537</v>
      </c>
      <c r="F6" s="1">
        <f t="shared" ref="F6:F7" si="3">D6/C6</f>
        <v>0.32666330875955857</v>
      </c>
    </row>
    <row r="7" spans="1:6" x14ac:dyDescent="0.35">
      <c r="A7" t="s">
        <v>31</v>
      </c>
      <c r="B7">
        <v>6940</v>
      </c>
      <c r="C7">
        <v>318</v>
      </c>
      <c r="D7">
        <v>24</v>
      </c>
      <c r="E7" s="1">
        <f t="shared" si="2"/>
        <v>4.5821325648414984E-2</v>
      </c>
      <c r="F7" s="1">
        <f t="shared" si="3"/>
        <v>7.5471698113207544E-2</v>
      </c>
    </row>
  </sheetData>
  <pageMargins left="0.7" right="0.7" top="0.75" bottom="0.75" header="0.3" footer="0.3"/>
  <pageSetup paperSize="9" orientation="portrait" verticalDpi="0" r:id="rId1"/>
  <headerFooter>
    <oddFooter>&amp;L_x000D_&amp;1#&amp;"Aptos"&amp;7&amp;K000000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12EB0-54ED-44C7-94F1-154F18551F09}">
  <dimension ref="A1:W84"/>
  <sheetViews>
    <sheetView tabSelected="1" topLeftCell="E1" workbookViewId="0">
      <selection activeCell="Q17" sqref="Q17"/>
    </sheetView>
  </sheetViews>
  <sheetFormatPr defaultRowHeight="14.5" x14ac:dyDescent="0.35"/>
  <cols>
    <col min="1" max="1" width="10.54296875" bestFit="1" customWidth="1"/>
    <col min="2" max="2" width="6.81640625" bestFit="1" customWidth="1"/>
    <col min="9" max="9" width="39.1796875" bestFit="1" customWidth="1"/>
    <col min="17" max="17" width="39.1796875" bestFit="1" customWidth="1"/>
    <col min="18" max="18" width="6.36328125" bestFit="1" customWidth="1"/>
    <col min="19" max="19" width="6.81640625" bestFit="1" customWidth="1"/>
    <col min="20" max="20" width="6.36328125" bestFit="1" customWidth="1"/>
    <col min="21" max="21" width="6.81640625" bestFit="1" customWidth="1"/>
  </cols>
  <sheetData>
    <row r="1" spans="1:23" x14ac:dyDescent="0.35">
      <c r="A1" s="7" t="s">
        <v>114</v>
      </c>
      <c r="B1" s="7" t="s">
        <v>113</v>
      </c>
      <c r="C1" s="7"/>
      <c r="D1" s="7"/>
      <c r="E1" s="7"/>
      <c r="F1" s="7"/>
      <c r="G1" s="7"/>
      <c r="I1" s="7" t="s">
        <v>114</v>
      </c>
      <c r="J1" s="7" t="s">
        <v>115</v>
      </c>
      <c r="K1" s="7"/>
      <c r="L1" s="7"/>
      <c r="M1" s="7"/>
      <c r="N1" s="7"/>
      <c r="O1" s="7"/>
      <c r="Q1" s="7" t="s">
        <v>114</v>
      </c>
      <c r="R1" s="7" t="s">
        <v>126</v>
      </c>
      <c r="S1" s="7"/>
      <c r="T1" s="7"/>
      <c r="U1" s="7"/>
      <c r="V1" s="7"/>
      <c r="W1" s="7"/>
    </row>
    <row r="2" spans="1:23" x14ac:dyDescent="0.35">
      <c r="A2" s="7"/>
      <c r="B2" s="7" t="s">
        <v>25</v>
      </c>
      <c r="C2" s="7"/>
      <c r="D2" s="7" t="s">
        <v>26</v>
      </c>
      <c r="E2" s="7"/>
      <c r="F2" s="8" t="s">
        <v>27</v>
      </c>
      <c r="G2" s="8" t="s">
        <v>27</v>
      </c>
      <c r="I2" s="7"/>
      <c r="J2" s="7" t="s">
        <v>25</v>
      </c>
      <c r="K2" s="7"/>
      <c r="L2" s="7" t="s">
        <v>26</v>
      </c>
      <c r="M2" s="7"/>
      <c r="N2" s="8" t="s">
        <v>27</v>
      </c>
      <c r="O2" s="8" t="s">
        <v>27</v>
      </c>
      <c r="Q2" s="7"/>
      <c r="R2" s="7" t="s">
        <v>25</v>
      </c>
      <c r="S2" s="7"/>
      <c r="T2" s="7" t="s">
        <v>26</v>
      </c>
      <c r="U2" s="7"/>
      <c r="V2" s="8" t="s">
        <v>27</v>
      </c>
      <c r="W2" s="8" t="s">
        <v>27</v>
      </c>
    </row>
    <row r="3" spans="1:23" x14ac:dyDescent="0.35">
      <c r="A3" s="7"/>
      <c r="B3" s="4" t="s">
        <v>5</v>
      </c>
      <c r="C3" s="4" t="s">
        <v>6</v>
      </c>
      <c r="D3" s="4" t="s">
        <v>5</v>
      </c>
      <c r="E3" s="4" t="s">
        <v>6</v>
      </c>
      <c r="F3" s="9" t="s">
        <v>5</v>
      </c>
      <c r="G3" s="9" t="s">
        <v>6</v>
      </c>
      <c r="I3" s="7"/>
      <c r="J3" s="4" t="s">
        <v>5</v>
      </c>
      <c r="K3" s="4" t="s">
        <v>6</v>
      </c>
      <c r="L3" s="4" t="s">
        <v>5</v>
      </c>
      <c r="M3" s="4" t="s">
        <v>6</v>
      </c>
      <c r="N3" s="9" t="s">
        <v>5</v>
      </c>
      <c r="O3" s="9" t="s">
        <v>6</v>
      </c>
      <c r="Q3" s="7"/>
      <c r="R3" s="4" t="s">
        <v>5</v>
      </c>
      <c r="S3" s="4" t="s">
        <v>6</v>
      </c>
      <c r="T3" s="4" t="s">
        <v>5</v>
      </c>
      <c r="U3" s="4" t="s">
        <v>6</v>
      </c>
      <c r="V3" s="9" t="s">
        <v>5</v>
      </c>
      <c r="W3" s="9" t="s">
        <v>6</v>
      </c>
    </row>
    <row r="4" spans="1:23" x14ac:dyDescent="0.35">
      <c r="A4" s="4" t="s">
        <v>32</v>
      </c>
      <c r="B4" s="4">
        <v>147993</v>
      </c>
      <c r="C4" s="4">
        <v>1480180</v>
      </c>
      <c r="D4" s="4">
        <v>150081</v>
      </c>
      <c r="E4" s="4">
        <v>1501100</v>
      </c>
      <c r="F4" s="5">
        <f>(B4-D4)/D4</f>
        <v>-1.3912487256881285E-2</v>
      </c>
      <c r="G4" s="5">
        <f>(C4-E4)/E4</f>
        <v>-1.3936446605822397E-2</v>
      </c>
      <c r="I4" s="4" t="s">
        <v>116</v>
      </c>
      <c r="J4" s="4">
        <v>18227</v>
      </c>
      <c r="K4" s="4">
        <v>218796</v>
      </c>
      <c r="L4" s="4">
        <v>26902</v>
      </c>
      <c r="M4" s="4">
        <v>322896</v>
      </c>
      <c r="N4" s="5">
        <f>(J4-L4)/L4</f>
        <v>-0.32246673109805962</v>
      </c>
      <c r="O4" s="5">
        <f>(K4-M4)/M4</f>
        <v>-0.32239482681730341</v>
      </c>
      <c r="Q4" s="4" t="s">
        <v>127</v>
      </c>
      <c r="R4" s="4">
        <v>44986</v>
      </c>
      <c r="S4" s="4">
        <v>449940</v>
      </c>
      <c r="T4" s="4">
        <v>8739</v>
      </c>
      <c r="U4" s="4">
        <v>87410</v>
      </c>
      <c r="V4" s="5">
        <f>(R4-T4)/T4</f>
        <v>4.1477285730632794</v>
      </c>
      <c r="W4" s="5">
        <f>(S4-U4)/U4</f>
        <v>4.1474659649925636</v>
      </c>
    </row>
    <row r="5" spans="1:23" x14ac:dyDescent="0.35">
      <c r="A5" s="4" t="s">
        <v>33</v>
      </c>
      <c r="B5" s="4">
        <v>131408</v>
      </c>
      <c r="C5" s="4">
        <v>394260</v>
      </c>
      <c r="D5" s="4">
        <v>126670</v>
      </c>
      <c r="E5" s="4">
        <v>380043</v>
      </c>
      <c r="F5" s="5">
        <f t="shared" ref="F5:F68" si="0">(B5-D5)/D5</f>
        <v>3.7404278834767504E-2</v>
      </c>
      <c r="G5" s="5">
        <f t="shared" ref="G5:G68" si="1">(C5-E5)/E5</f>
        <v>3.7408924779564416E-2</v>
      </c>
      <c r="I5" s="4" t="s">
        <v>117</v>
      </c>
      <c r="J5" s="4">
        <v>17308</v>
      </c>
      <c r="K5" s="4">
        <v>259755</v>
      </c>
      <c r="L5" s="4">
        <v>3709</v>
      </c>
      <c r="M5" s="4">
        <v>55635</v>
      </c>
      <c r="N5" s="5">
        <f t="shared" ref="N5:N13" si="2">(J5-L5)/L5</f>
        <v>3.6664869236991104</v>
      </c>
      <c r="O5" s="5">
        <f t="shared" ref="O5:O13" si="3">(K5-M5)/M5</f>
        <v>3.6689134537611214</v>
      </c>
      <c r="Q5" s="4" t="s">
        <v>128</v>
      </c>
      <c r="R5" s="4">
        <v>44218</v>
      </c>
      <c r="S5" s="4">
        <v>221135</v>
      </c>
      <c r="T5" s="4">
        <v>8456</v>
      </c>
      <c r="U5" s="4">
        <v>42290</v>
      </c>
      <c r="V5" s="5">
        <f t="shared" ref="V5:V12" si="4">(R5-T5)/T5</f>
        <v>4.2291863765373696</v>
      </c>
      <c r="W5" s="5">
        <f t="shared" ref="W5:W12" si="5">(S5-U5)/U5</f>
        <v>4.2290139512887208</v>
      </c>
    </row>
    <row r="6" spans="1:23" x14ac:dyDescent="0.35">
      <c r="A6" s="4" t="s">
        <v>34</v>
      </c>
      <c r="B6" s="4">
        <v>126964</v>
      </c>
      <c r="C6" s="4">
        <v>634905</v>
      </c>
      <c r="D6" s="4">
        <v>123938</v>
      </c>
      <c r="E6" s="4">
        <v>619750</v>
      </c>
      <c r="F6" s="5">
        <f t="shared" si="0"/>
        <v>2.441543352321322E-2</v>
      </c>
      <c r="G6" s="5">
        <f t="shared" si="1"/>
        <v>2.4453408632513111E-2</v>
      </c>
      <c r="I6" s="4" t="s">
        <v>118</v>
      </c>
      <c r="J6" s="4">
        <v>11049</v>
      </c>
      <c r="K6" s="4">
        <v>88416</v>
      </c>
      <c r="L6" s="4">
        <v>2438</v>
      </c>
      <c r="M6" s="4">
        <v>19504</v>
      </c>
      <c r="N6" s="5">
        <f t="shared" si="2"/>
        <v>3.5319934372436421</v>
      </c>
      <c r="O6" s="5">
        <f t="shared" si="3"/>
        <v>3.5332239540607056</v>
      </c>
      <c r="Q6" s="4" t="s">
        <v>129</v>
      </c>
      <c r="R6" s="4">
        <v>11749</v>
      </c>
      <c r="S6" s="4">
        <v>376032</v>
      </c>
      <c r="T6" s="4">
        <v>2691</v>
      </c>
      <c r="U6" s="4">
        <v>86144</v>
      </c>
      <c r="V6" s="5">
        <f t="shared" si="4"/>
        <v>3.3660349312523223</v>
      </c>
      <c r="W6" s="5">
        <f t="shared" si="5"/>
        <v>3.3651560178306092</v>
      </c>
    </row>
    <row r="7" spans="1:23" x14ac:dyDescent="0.35">
      <c r="A7" s="4" t="s">
        <v>35</v>
      </c>
      <c r="B7" s="4">
        <v>55107</v>
      </c>
      <c r="C7" s="4">
        <v>826710</v>
      </c>
      <c r="D7" s="4">
        <v>54903</v>
      </c>
      <c r="E7" s="4">
        <v>823695</v>
      </c>
      <c r="F7" s="5">
        <f t="shared" si="0"/>
        <v>3.7156439538823015E-3</v>
      </c>
      <c r="G7" s="5">
        <f t="shared" si="1"/>
        <v>3.6603354396955185E-3</v>
      </c>
      <c r="I7" s="4" t="s">
        <v>119</v>
      </c>
      <c r="J7" s="4">
        <v>7719</v>
      </c>
      <c r="K7" s="4">
        <v>77200</v>
      </c>
      <c r="L7" s="4">
        <v>1639</v>
      </c>
      <c r="M7" s="4">
        <v>16390</v>
      </c>
      <c r="N7" s="5">
        <f t="shared" si="2"/>
        <v>3.7095790115924343</v>
      </c>
      <c r="O7" s="5">
        <f t="shared" si="3"/>
        <v>3.7101891397193412</v>
      </c>
      <c r="Q7" s="4" t="s">
        <v>130</v>
      </c>
      <c r="R7" s="4">
        <v>9133</v>
      </c>
      <c r="S7" s="4">
        <v>27402</v>
      </c>
      <c r="T7" s="4">
        <v>1784</v>
      </c>
      <c r="U7" s="4">
        <v>5355</v>
      </c>
      <c r="V7" s="5">
        <f t="shared" si="4"/>
        <v>4.1193946188340806</v>
      </c>
      <c r="W7" s="5">
        <f t="shared" si="5"/>
        <v>4.1170868347338931</v>
      </c>
    </row>
    <row r="8" spans="1:23" x14ac:dyDescent="0.35">
      <c r="A8" s="4" t="s">
        <v>36</v>
      </c>
      <c r="B8" s="4">
        <v>38741</v>
      </c>
      <c r="C8" s="4">
        <v>774840</v>
      </c>
      <c r="D8" s="4">
        <v>38307</v>
      </c>
      <c r="E8" s="4">
        <v>766140</v>
      </c>
      <c r="F8" s="5">
        <f t="shared" si="0"/>
        <v>1.1329522019474247E-2</v>
      </c>
      <c r="G8" s="5">
        <f t="shared" si="1"/>
        <v>1.1355626908920041E-2</v>
      </c>
      <c r="I8" s="4" t="s">
        <v>120</v>
      </c>
      <c r="J8" s="4">
        <v>4127</v>
      </c>
      <c r="K8" s="4">
        <v>16512</v>
      </c>
      <c r="L8" s="4">
        <v>4643</v>
      </c>
      <c r="M8" s="4">
        <v>18572</v>
      </c>
      <c r="N8" s="5">
        <f t="shared" si="2"/>
        <v>-0.11113504199870773</v>
      </c>
      <c r="O8" s="5">
        <f t="shared" si="3"/>
        <v>-0.11091966401033815</v>
      </c>
      <c r="Q8" s="4" t="s">
        <v>131</v>
      </c>
      <c r="R8" s="4">
        <v>0</v>
      </c>
      <c r="S8" s="4">
        <v>0</v>
      </c>
      <c r="T8" s="4">
        <v>7248</v>
      </c>
      <c r="U8" s="4">
        <v>137731</v>
      </c>
      <c r="V8" s="5">
        <f t="shared" si="4"/>
        <v>-1</v>
      </c>
      <c r="W8" s="5">
        <f t="shared" si="5"/>
        <v>-1</v>
      </c>
    </row>
    <row r="9" spans="1:23" x14ac:dyDescent="0.35">
      <c r="A9" s="4" t="s">
        <v>37</v>
      </c>
      <c r="B9" s="4">
        <v>31898</v>
      </c>
      <c r="C9" s="4">
        <v>1595050</v>
      </c>
      <c r="D9" s="4">
        <v>29654</v>
      </c>
      <c r="E9" s="4">
        <v>1482800</v>
      </c>
      <c r="F9" s="5">
        <f t="shared" si="0"/>
        <v>7.5672759155594529E-2</v>
      </c>
      <c r="G9" s="5">
        <f t="shared" si="1"/>
        <v>7.5701375775559757E-2</v>
      </c>
      <c r="I9" s="4" t="s">
        <v>121</v>
      </c>
      <c r="J9" s="4">
        <v>3143</v>
      </c>
      <c r="K9" s="4">
        <v>9429</v>
      </c>
      <c r="L9" s="4">
        <v>3278</v>
      </c>
      <c r="M9" s="4">
        <v>9837</v>
      </c>
      <c r="N9" s="5">
        <f t="shared" si="2"/>
        <v>-4.1183648566198904E-2</v>
      </c>
      <c r="O9" s="5">
        <f t="shared" si="3"/>
        <v>-4.1476059774321443E-2</v>
      </c>
      <c r="Q9" s="4" t="s">
        <v>132</v>
      </c>
      <c r="R9" s="4">
        <v>0</v>
      </c>
      <c r="S9" s="4">
        <v>0</v>
      </c>
      <c r="T9" s="4">
        <v>5103</v>
      </c>
      <c r="U9" s="4">
        <v>25515</v>
      </c>
      <c r="V9" s="5">
        <f t="shared" si="4"/>
        <v>-1</v>
      </c>
      <c r="W9" s="5">
        <f t="shared" si="5"/>
        <v>-1</v>
      </c>
    </row>
    <row r="10" spans="1:23" x14ac:dyDescent="0.35">
      <c r="A10" s="4" t="s">
        <v>38</v>
      </c>
      <c r="B10" s="4">
        <v>28847</v>
      </c>
      <c r="C10" s="4">
        <v>865530</v>
      </c>
      <c r="D10" s="4">
        <v>28487</v>
      </c>
      <c r="E10" s="4">
        <v>854730</v>
      </c>
      <c r="F10" s="5">
        <f t="shared" si="0"/>
        <v>1.2637343349598063E-2</v>
      </c>
      <c r="G10" s="5">
        <f t="shared" si="1"/>
        <v>1.2635569127092766E-2</v>
      </c>
      <c r="I10" s="4" t="s">
        <v>122</v>
      </c>
      <c r="J10" s="4">
        <v>2275</v>
      </c>
      <c r="K10" s="4">
        <v>13650</v>
      </c>
      <c r="L10" s="4">
        <v>4432</v>
      </c>
      <c r="M10" s="4">
        <v>26592</v>
      </c>
      <c r="N10" s="5">
        <f t="shared" si="2"/>
        <v>-0.48668772563176893</v>
      </c>
      <c r="O10" s="5">
        <f t="shared" si="3"/>
        <v>-0.48668772563176893</v>
      </c>
      <c r="Q10" s="4" t="s">
        <v>133</v>
      </c>
      <c r="R10" s="4">
        <v>0</v>
      </c>
      <c r="S10" s="4">
        <v>0</v>
      </c>
      <c r="T10" s="4">
        <v>2991</v>
      </c>
      <c r="U10" s="4">
        <v>8976</v>
      </c>
      <c r="V10" s="5">
        <f t="shared" si="4"/>
        <v>-1</v>
      </c>
      <c r="W10" s="5">
        <f t="shared" si="5"/>
        <v>-1</v>
      </c>
    </row>
    <row r="11" spans="1:23" x14ac:dyDescent="0.35">
      <c r="A11" s="4" t="s">
        <v>39</v>
      </c>
      <c r="B11" s="4">
        <v>27451</v>
      </c>
      <c r="C11" s="4">
        <v>1235295</v>
      </c>
      <c r="D11" s="4">
        <v>25961</v>
      </c>
      <c r="E11" s="4">
        <v>1168380</v>
      </c>
      <c r="F11" s="5">
        <f t="shared" si="0"/>
        <v>5.7393782982165555E-2</v>
      </c>
      <c r="G11" s="5">
        <f t="shared" si="1"/>
        <v>5.7271606840240331E-2</v>
      </c>
      <c r="I11" s="4" t="s">
        <v>123</v>
      </c>
      <c r="J11" s="4">
        <v>1176</v>
      </c>
      <c r="K11" s="4">
        <v>5880</v>
      </c>
      <c r="L11" s="4">
        <v>271</v>
      </c>
      <c r="M11" s="4">
        <v>1355</v>
      </c>
      <c r="N11" s="5">
        <f t="shared" si="2"/>
        <v>3.3394833948339482</v>
      </c>
      <c r="O11" s="5">
        <f t="shared" si="3"/>
        <v>3.3394833948339482</v>
      </c>
      <c r="Q11" s="4" t="s">
        <v>134</v>
      </c>
      <c r="R11" s="4">
        <v>0</v>
      </c>
      <c r="S11" s="4">
        <v>0</v>
      </c>
      <c r="T11" s="4">
        <v>2931</v>
      </c>
      <c r="U11" s="4">
        <v>38116</v>
      </c>
      <c r="V11" s="5">
        <f t="shared" si="4"/>
        <v>-1</v>
      </c>
      <c r="W11" s="5">
        <f t="shared" si="5"/>
        <v>-1</v>
      </c>
    </row>
    <row r="12" spans="1:23" x14ac:dyDescent="0.35">
      <c r="A12" s="4" t="s">
        <v>40</v>
      </c>
      <c r="B12" s="4">
        <v>27202</v>
      </c>
      <c r="C12" s="4">
        <v>680125</v>
      </c>
      <c r="D12" s="4">
        <v>27847</v>
      </c>
      <c r="E12" s="4">
        <v>696300</v>
      </c>
      <c r="F12" s="5">
        <f t="shared" si="0"/>
        <v>-2.3162279599238698E-2</v>
      </c>
      <c r="G12" s="5">
        <f t="shared" si="1"/>
        <v>-2.3229929628033892E-2</v>
      </c>
      <c r="I12" s="4" t="s">
        <v>124</v>
      </c>
      <c r="J12" s="4">
        <v>0</v>
      </c>
      <c r="K12" s="4">
        <v>0</v>
      </c>
      <c r="L12" s="4">
        <v>4958</v>
      </c>
      <c r="M12" s="4">
        <v>59508</v>
      </c>
      <c r="N12" s="5">
        <f t="shared" si="2"/>
        <v>-1</v>
      </c>
      <c r="O12" s="5">
        <f t="shared" si="3"/>
        <v>-1</v>
      </c>
      <c r="Q12" s="4" t="s">
        <v>135</v>
      </c>
      <c r="R12" s="4">
        <v>0</v>
      </c>
      <c r="S12" s="4">
        <v>0</v>
      </c>
      <c r="T12" s="4">
        <v>1830</v>
      </c>
      <c r="U12" s="4">
        <v>18300</v>
      </c>
      <c r="V12" s="5">
        <f t="shared" si="4"/>
        <v>-1</v>
      </c>
      <c r="W12" s="5">
        <f t="shared" si="5"/>
        <v>-1</v>
      </c>
    </row>
    <row r="13" spans="1:23" x14ac:dyDescent="0.35">
      <c r="A13" s="4" t="s">
        <v>41</v>
      </c>
      <c r="B13" s="4">
        <v>22681</v>
      </c>
      <c r="C13" s="4">
        <v>907360</v>
      </c>
      <c r="D13" s="4">
        <v>22146</v>
      </c>
      <c r="E13" s="4">
        <v>885960</v>
      </c>
      <c r="F13" s="5">
        <f t="shared" si="0"/>
        <v>2.4157861464824348E-2</v>
      </c>
      <c r="G13" s="5">
        <f t="shared" si="1"/>
        <v>2.4154589371980676E-2</v>
      </c>
      <c r="I13" s="4" t="s">
        <v>125</v>
      </c>
      <c r="J13" s="4">
        <v>0</v>
      </c>
      <c r="K13" s="4">
        <v>0</v>
      </c>
      <c r="L13" s="4">
        <v>728</v>
      </c>
      <c r="M13" s="4">
        <v>7280</v>
      </c>
      <c r="N13" s="5">
        <f t="shared" si="2"/>
        <v>-1</v>
      </c>
      <c r="O13" s="5">
        <f t="shared" si="3"/>
        <v>-1</v>
      </c>
    </row>
    <row r="14" spans="1:23" x14ac:dyDescent="0.35">
      <c r="A14" s="4" t="s">
        <v>42</v>
      </c>
      <c r="B14" s="4">
        <v>18000</v>
      </c>
      <c r="C14" s="4">
        <v>990165</v>
      </c>
      <c r="D14" s="4">
        <v>17316</v>
      </c>
      <c r="E14" s="4">
        <v>952545</v>
      </c>
      <c r="F14" s="5">
        <f t="shared" si="0"/>
        <v>3.9501039501039503E-2</v>
      </c>
      <c r="G14" s="5">
        <f t="shared" si="1"/>
        <v>3.9494197124545299E-2</v>
      </c>
    </row>
    <row r="15" spans="1:23" x14ac:dyDescent="0.35">
      <c r="A15" s="4" t="s">
        <v>43</v>
      </c>
      <c r="B15" s="4">
        <v>16921</v>
      </c>
      <c r="C15" s="4">
        <v>592305</v>
      </c>
      <c r="D15" s="4">
        <v>17008</v>
      </c>
      <c r="E15" s="4">
        <v>595315</v>
      </c>
      <c r="F15" s="5">
        <f t="shared" si="0"/>
        <v>-5.115239887111947E-3</v>
      </c>
      <c r="G15" s="5">
        <f t="shared" si="1"/>
        <v>-5.0561467458404372E-3</v>
      </c>
    </row>
    <row r="16" spans="1:23" x14ac:dyDescent="0.35">
      <c r="A16" s="4" t="s">
        <v>44</v>
      </c>
      <c r="B16" s="4">
        <v>12479</v>
      </c>
      <c r="C16" s="4">
        <v>748920</v>
      </c>
      <c r="D16" s="4">
        <v>11923</v>
      </c>
      <c r="E16" s="4">
        <v>715380</v>
      </c>
      <c r="F16" s="5">
        <f t="shared" si="0"/>
        <v>4.6632558919734966E-2</v>
      </c>
      <c r="G16" s="5">
        <f t="shared" si="1"/>
        <v>4.6884173446280299E-2</v>
      </c>
    </row>
    <row r="17" spans="1:7" x14ac:dyDescent="0.35">
      <c r="A17" s="4" t="s">
        <v>45</v>
      </c>
      <c r="B17" s="4">
        <v>9635</v>
      </c>
      <c r="C17" s="4">
        <v>963700</v>
      </c>
      <c r="D17" s="4">
        <v>9271</v>
      </c>
      <c r="E17" s="4">
        <v>927100</v>
      </c>
      <c r="F17" s="5">
        <f t="shared" si="0"/>
        <v>3.926221551073239E-2</v>
      </c>
      <c r="G17" s="5">
        <f t="shared" si="1"/>
        <v>3.947794196958257E-2</v>
      </c>
    </row>
    <row r="18" spans="1:7" x14ac:dyDescent="0.35">
      <c r="A18" s="4" t="s">
        <v>46</v>
      </c>
      <c r="B18" s="4">
        <v>7058</v>
      </c>
      <c r="C18" s="4">
        <v>529425</v>
      </c>
      <c r="D18" s="4">
        <v>6897</v>
      </c>
      <c r="E18" s="4">
        <v>517350</v>
      </c>
      <c r="F18" s="5">
        <f t="shared" si="0"/>
        <v>2.3343482673626213E-2</v>
      </c>
      <c r="G18" s="5">
        <f t="shared" si="1"/>
        <v>2.3340098579298349E-2</v>
      </c>
    </row>
    <row r="19" spans="1:7" x14ac:dyDescent="0.35">
      <c r="A19" s="4" t="s">
        <v>47</v>
      </c>
      <c r="B19" s="4">
        <v>6691</v>
      </c>
      <c r="C19" s="4">
        <v>434980</v>
      </c>
      <c r="D19" s="4">
        <v>6615</v>
      </c>
      <c r="E19" s="4">
        <v>429975</v>
      </c>
      <c r="F19" s="5">
        <f t="shared" si="0"/>
        <v>1.1489040060468633E-2</v>
      </c>
      <c r="G19" s="5">
        <f t="shared" si="1"/>
        <v>1.164021164021164E-2</v>
      </c>
    </row>
    <row r="20" spans="1:7" x14ac:dyDescent="0.35">
      <c r="A20" s="4" t="s">
        <v>48</v>
      </c>
      <c r="B20" s="4">
        <v>4117</v>
      </c>
      <c r="C20" s="4">
        <v>370620</v>
      </c>
      <c r="D20" s="4">
        <v>4113</v>
      </c>
      <c r="E20" s="4">
        <v>370170</v>
      </c>
      <c r="F20" s="5">
        <f t="shared" si="0"/>
        <v>9.7252613663992217E-4</v>
      </c>
      <c r="G20" s="5">
        <f t="shared" si="1"/>
        <v>1.2156576707999028E-3</v>
      </c>
    </row>
    <row r="21" spans="1:7" x14ac:dyDescent="0.35">
      <c r="A21" s="4" t="s">
        <v>49</v>
      </c>
      <c r="B21" s="4">
        <v>3845</v>
      </c>
      <c r="C21" s="4">
        <v>269150</v>
      </c>
      <c r="D21" s="4">
        <v>3950</v>
      </c>
      <c r="E21" s="4">
        <v>276500</v>
      </c>
      <c r="F21" s="5">
        <f t="shared" si="0"/>
        <v>-2.6582278481012658E-2</v>
      </c>
      <c r="G21" s="5">
        <f t="shared" si="1"/>
        <v>-2.6582278481012658E-2</v>
      </c>
    </row>
    <row r="22" spans="1:7" x14ac:dyDescent="0.35">
      <c r="A22" s="4" t="s">
        <v>50</v>
      </c>
      <c r="B22" s="4">
        <v>3477</v>
      </c>
      <c r="C22" s="4">
        <v>521700</v>
      </c>
      <c r="D22" s="4">
        <v>3391</v>
      </c>
      <c r="E22" s="4">
        <v>508800</v>
      </c>
      <c r="F22" s="5">
        <f t="shared" si="0"/>
        <v>2.5361250368622825E-2</v>
      </c>
      <c r="G22" s="5">
        <f t="shared" si="1"/>
        <v>2.5353773584905662E-2</v>
      </c>
    </row>
    <row r="23" spans="1:7" x14ac:dyDescent="0.35">
      <c r="A23" s="4" t="s">
        <v>51</v>
      </c>
      <c r="B23" s="4">
        <v>3210</v>
      </c>
      <c r="C23" s="4">
        <v>642000</v>
      </c>
      <c r="D23" s="4">
        <v>3213</v>
      </c>
      <c r="E23" s="4">
        <v>642800</v>
      </c>
      <c r="F23" s="5">
        <f t="shared" si="0"/>
        <v>-9.3370681605975728E-4</v>
      </c>
      <c r="G23" s="5">
        <f t="shared" si="1"/>
        <v>-1.2445550715619166E-3</v>
      </c>
    </row>
    <row r="24" spans="1:7" x14ac:dyDescent="0.35">
      <c r="A24" s="4" t="s">
        <v>52</v>
      </c>
      <c r="B24" s="4">
        <v>2623</v>
      </c>
      <c r="C24" s="4">
        <v>249280</v>
      </c>
      <c r="D24" s="4">
        <v>2572</v>
      </c>
      <c r="E24" s="4">
        <v>244340</v>
      </c>
      <c r="F24" s="5">
        <f t="shared" si="0"/>
        <v>1.9828926905132192E-2</v>
      </c>
      <c r="G24" s="5">
        <f t="shared" si="1"/>
        <v>2.0217729393468119E-2</v>
      </c>
    </row>
    <row r="25" spans="1:7" x14ac:dyDescent="0.35">
      <c r="A25" s="4" t="s">
        <v>53</v>
      </c>
      <c r="B25" s="4">
        <v>2596</v>
      </c>
      <c r="C25" s="4">
        <v>324500</v>
      </c>
      <c r="D25" s="4">
        <v>2617</v>
      </c>
      <c r="E25" s="4">
        <v>327125</v>
      </c>
      <c r="F25" s="5">
        <f t="shared" si="0"/>
        <v>-8.0244554833779139E-3</v>
      </c>
      <c r="G25" s="5">
        <f t="shared" si="1"/>
        <v>-8.0244554833779139E-3</v>
      </c>
    </row>
    <row r="26" spans="1:7" x14ac:dyDescent="0.35">
      <c r="A26" s="4" t="s">
        <v>54</v>
      </c>
      <c r="B26" s="4">
        <v>2492</v>
      </c>
      <c r="C26" s="4">
        <v>211820</v>
      </c>
      <c r="D26" s="4">
        <v>2560</v>
      </c>
      <c r="E26" s="4">
        <v>217685</v>
      </c>
      <c r="F26" s="5">
        <f t="shared" si="0"/>
        <v>-2.6562499999999999E-2</v>
      </c>
      <c r="G26" s="5">
        <f t="shared" si="1"/>
        <v>-2.694260054666146E-2</v>
      </c>
    </row>
    <row r="27" spans="1:7" x14ac:dyDescent="0.35">
      <c r="A27" s="4" t="s">
        <v>55</v>
      </c>
      <c r="B27" s="4">
        <v>2250</v>
      </c>
      <c r="C27" s="4">
        <v>180000</v>
      </c>
      <c r="D27" s="4">
        <v>2220</v>
      </c>
      <c r="E27" s="4">
        <v>177600</v>
      </c>
      <c r="F27" s="5">
        <f t="shared" si="0"/>
        <v>1.3513513513513514E-2</v>
      </c>
      <c r="G27" s="5">
        <f t="shared" si="1"/>
        <v>1.3513513513513514E-2</v>
      </c>
    </row>
    <row r="28" spans="1:7" x14ac:dyDescent="0.35">
      <c r="A28" s="4" t="s">
        <v>56</v>
      </c>
      <c r="B28" s="4">
        <v>2231</v>
      </c>
      <c r="C28" s="4">
        <v>390600</v>
      </c>
      <c r="D28" s="4">
        <v>2256</v>
      </c>
      <c r="E28" s="4">
        <v>395150</v>
      </c>
      <c r="F28" s="5">
        <f t="shared" si="0"/>
        <v>-1.1081560283687944E-2</v>
      </c>
      <c r="G28" s="5">
        <f t="shared" si="1"/>
        <v>-1.1514614703277236E-2</v>
      </c>
    </row>
    <row r="29" spans="1:7" x14ac:dyDescent="0.35">
      <c r="A29" s="4" t="s">
        <v>57</v>
      </c>
      <c r="B29" s="4">
        <v>2032</v>
      </c>
      <c r="C29" s="4">
        <v>812800</v>
      </c>
      <c r="D29" s="4">
        <v>1934</v>
      </c>
      <c r="E29" s="4">
        <v>773600</v>
      </c>
      <c r="F29" s="5">
        <f t="shared" si="0"/>
        <v>5.0672182006204755E-2</v>
      </c>
      <c r="G29" s="5">
        <f t="shared" si="1"/>
        <v>5.0672182006204755E-2</v>
      </c>
    </row>
    <row r="30" spans="1:7" x14ac:dyDescent="0.35">
      <c r="A30" s="4" t="s">
        <v>58</v>
      </c>
      <c r="B30" s="4">
        <v>1880</v>
      </c>
      <c r="C30" s="4">
        <v>197400</v>
      </c>
      <c r="D30" s="4">
        <v>1866</v>
      </c>
      <c r="E30" s="4">
        <v>195930</v>
      </c>
      <c r="F30" s="5">
        <f t="shared" si="0"/>
        <v>7.502679528403001E-3</v>
      </c>
      <c r="G30" s="5">
        <f t="shared" si="1"/>
        <v>7.502679528403001E-3</v>
      </c>
    </row>
    <row r="31" spans="1:7" x14ac:dyDescent="0.35">
      <c r="A31" s="4" t="s">
        <v>59</v>
      </c>
      <c r="B31" s="4">
        <v>1510</v>
      </c>
      <c r="C31" s="4">
        <v>453000</v>
      </c>
      <c r="D31" s="4">
        <v>1567</v>
      </c>
      <c r="E31" s="4">
        <v>470100</v>
      </c>
      <c r="F31" s="5">
        <f t="shared" si="0"/>
        <v>-3.6375239310784936E-2</v>
      </c>
      <c r="G31" s="5">
        <f t="shared" si="1"/>
        <v>-3.6375239310784936E-2</v>
      </c>
    </row>
    <row r="32" spans="1:7" x14ac:dyDescent="0.35">
      <c r="A32" s="4" t="s">
        <v>60</v>
      </c>
      <c r="B32" s="4">
        <v>1473</v>
      </c>
      <c r="C32" s="4">
        <v>162140</v>
      </c>
      <c r="D32" s="4">
        <v>1491</v>
      </c>
      <c r="E32" s="4">
        <v>164120</v>
      </c>
      <c r="F32" s="5">
        <f t="shared" si="0"/>
        <v>-1.2072434607645875E-2</v>
      </c>
      <c r="G32" s="5">
        <f t="shared" si="1"/>
        <v>-1.2064343163538873E-2</v>
      </c>
    </row>
    <row r="33" spans="1:7" x14ac:dyDescent="0.35">
      <c r="A33" s="4" t="s">
        <v>61</v>
      </c>
      <c r="B33" s="4">
        <v>1451</v>
      </c>
      <c r="C33" s="4">
        <v>166865</v>
      </c>
      <c r="D33" s="4">
        <v>1394</v>
      </c>
      <c r="E33" s="4">
        <v>160310</v>
      </c>
      <c r="F33" s="5">
        <f t="shared" si="0"/>
        <v>4.0889526542324243E-2</v>
      </c>
      <c r="G33" s="5">
        <f t="shared" si="1"/>
        <v>4.0889526542324243E-2</v>
      </c>
    </row>
    <row r="34" spans="1:7" x14ac:dyDescent="0.35">
      <c r="A34" s="4" t="s">
        <v>62</v>
      </c>
      <c r="B34" s="4">
        <v>1372</v>
      </c>
      <c r="C34" s="4">
        <v>343000</v>
      </c>
      <c r="D34" s="4">
        <v>1277</v>
      </c>
      <c r="E34" s="4">
        <v>319250</v>
      </c>
      <c r="F34" s="5">
        <f t="shared" si="0"/>
        <v>7.439310884886452E-2</v>
      </c>
      <c r="G34" s="5">
        <f t="shared" si="1"/>
        <v>7.439310884886452E-2</v>
      </c>
    </row>
    <row r="35" spans="1:7" x14ac:dyDescent="0.35">
      <c r="A35" s="4" t="s">
        <v>63</v>
      </c>
      <c r="B35" s="4">
        <v>1124</v>
      </c>
      <c r="C35" s="4">
        <v>134880</v>
      </c>
      <c r="D35" s="4">
        <v>1175</v>
      </c>
      <c r="E35" s="4">
        <v>141000</v>
      </c>
      <c r="F35" s="5">
        <f t="shared" si="0"/>
        <v>-4.3404255319148939E-2</v>
      </c>
      <c r="G35" s="5">
        <f t="shared" si="1"/>
        <v>-4.3404255319148939E-2</v>
      </c>
    </row>
    <row r="36" spans="1:7" x14ac:dyDescent="0.35">
      <c r="A36" s="4" t="s">
        <v>64</v>
      </c>
      <c r="B36" s="4">
        <v>1110</v>
      </c>
      <c r="C36" s="4">
        <v>149850</v>
      </c>
      <c r="D36" s="4">
        <v>1028</v>
      </c>
      <c r="E36" s="4">
        <v>138780</v>
      </c>
      <c r="F36" s="5">
        <f t="shared" si="0"/>
        <v>7.9766536964980539E-2</v>
      </c>
      <c r="G36" s="5">
        <f t="shared" si="1"/>
        <v>7.9766536964980539E-2</v>
      </c>
    </row>
    <row r="37" spans="1:7" x14ac:dyDescent="0.35">
      <c r="A37" s="4" t="s">
        <v>65</v>
      </c>
      <c r="B37" s="4">
        <v>935</v>
      </c>
      <c r="C37" s="4">
        <v>327600</v>
      </c>
      <c r="D37" s="4">
        <v>922</v>
      </c>
      <c r="E37" s="4">
        <v>322700</v>
      </c>
      <c r="F37" s="5">
        <f t="shared" si="0"/>
        <v>1.4099783080260303E-2</v>
      </c>
      <c r="G37" s="5">
        <f t="shared" si="1"/>
        <v>1.5184381778741865E-2</v>
      </c>
    </row>
    <row r="38" spans="1:7" x14ac:dyDescent="0.35">
      <c r="A38" s="4" t="s">
        <v>66</v>
      </c>
      <c r="B38" s="4">
        <v>895</v>
      </c>
      <c r="C38" s="4">
        <v>152150</v>
      </c>
      <c r="D38" s="4">
        <v>783</v>
      </c>
      <c r="E38" s="4">
        <v>133110</v>
      </c>
      <c r="F38" s="5">
        <f t="shared" si="0"/>
        <v>0.14303959131545338</v>
      </c>
      <c r="G38" s="5">
        <f t="shared" si="1"/>
        <v>0.14303959131545338</v>
      </c>
    </row>
    <row r="39" spans="1:7" x14ac:dyDescent="0.35">
      <c r="A39" s="4" t="s">
        <v>67</v>
      </c>
      <c r="B39" s="4">
        <v>808</v>
      </c>
      <c r="C39" s="4">
        <v>153710</v>
      </c>
      <c r="D39" s="4">
        <v>799</v>
      </c>
      <c r="E39" s="4">
        <v>151810</v>
      </c>
      <c r="F39" s="5">
        <f t="shared" si="0"/>
        <v>1.1264080100125156E-2</v>
      </c>
      <c r="G39" s="5">
        <f t="shared" si="1"/>
        <v>1.2515644555694618E-2</v>
      </c>
    </row>
    <row r="40" spans="1:7" x14ac:dyDescent="0.35">
      <c r="A40" s="4" t="s">
        <v>68</v>
      </c>
      <c r="B40" s="4">
        <v>808</v>
      </c>
      <c r="C40" s="4">
        <v>105040</v>
      </c>
      <c r="D40" s="4">
        <v>768</v>
      </c>
      <c r="E40" s="4">
        <v>99840</v>
      </c>
      <c r="F40" s="5">
        <f t="shared" si="0"/>
        <v>5.2083333333333336E-2</v>
      </c>
      <c r="G40" s="5">
        <f t="shared" si="1"/>
        <v>5.2083333333333336E-2</v>
      </c>
    </row>
    <row r="41" spans="1:7" x14ac:dyDescent="0.35">
      <c r="A41" s="4" t="s">
        <v>69</v>
      </c>
      <c r="B41" s="4">
        <v>730</v>
      </c>
      <c r="C41" s="4">
        <v>120450</v>
      </c>
      <c r="D41" s="4">
        <v>660</v>
      </c>
      <c r="E41" s="4">
        <v>108900</v>
      </c>
      <c r="F41" s="5">
        <f t="shared" si="0"/>
        <v>0.10606060606060606</v>
      </c>
      <c r="G41" s="5">
        <f t="shared" si="1"/>
        <v>0.10606060606060606</v>
      </c>
    </row>
    <row r="42" spans="1:7" x14ac:dyDescent="0.35">
      <c r="A42" s="4" t="s">
        <v>70</v>
      </c>
      <c r="B42" s="4">
        <v>725</v>
      </c>
      <c r="C42" s="4">
        <v>101500</v>
      </c>
      <c r="D42" s="4">
        <v>721</v>
      </c>
      <c r="E42" s="4">
        <v>101080</v>
      </c>
      <c r="F42" s="5">
        <f t="shared" si="0"/>
        <v>5.5478502080443829E-3</v>
      </c>
      <c r="G42" s="5">
        <f t="shared" si="1"/>
        <v>4.1551246537396124E-3</v>
      </c>
    </row>
    <row r="43" spans="1:7" x14ac:dyDescent="0.35">
      <c r="A43" s="4" t="s">
        <v>71</v>
      </c>
      <c r="B43" s="4">
        <v>704</v>
      </c>
      <c r="C43" s="4">
        <v>126720</v>
      </c>
      <c r="D43" s="4">
        <v>663</v>
      </c>
      <c r="E43" s="4">
        <v>119340</v>
      </c>
      <c r="F43" s="5">
        <f t="shared" si="0"/>
        <v>6.1840120663650078E-2</v>
      </c>
      <c r="G43" s="5">
        <f t="shared" si="1"/>
        <v>6.1840120663650078E-2</v>
      </c>
    </row>
    <row r="44" spans="1:7" x14ac:dyDescent="0.35">
      <c r="A44" s="4" t="s">
        <v>72</v>
      </c>
      <c r="B44" s="4">
        <v>665</v>
      </c>
      <c r="C44" s="4">
        <v>96425</v>
      </c>
      <c r="D44" s="4">
        <v>625</v>
      </c>
      <c r="E44" s="4">
        <v>90625</v>
      </c>
      <c r="F44" s="5">
        <f t="shared" si="0"/>
        <v>6.4000000000000001E-2</v>
      </c>
      <c r="G44" s="5">
        <f t="shared" si="1"/>
        <v>6.4000000000000001E-2</v>
      </c>
    </row>
    <row r="45" spans="1:7" x14ac:dyDescent="0.35">
      <c r="A45" s="4" t="s">
        <v>73</v>
      </c>
      <c r="B45" s="4">
        <v>580</v>
      </c>
      <c r="C45" s="4">
        <v>130500</v>
      </c>
      <c r="D45" s="4">
        <v>534</v>
      </c>
      <c r="E45" s="4">
        <v>120150</v>
      </c>
      <c r="F45" s="5">
        <f t="shared" si="0"/>
        <v>8.6142322097378279E-2</v>
      </c>
      <c r="G45" s="5">
        <f t="shared" si="1"/>
        <v>8.6142322097378279E-2</v>
      </c>
    </row>
    <row r="46" spans="1:7" x14ac:dyDescent="0.35">
      <c r="A46" s="4" t="s">
        <v>74</v>
      </c>
      <c r="B46" s="4">
        <v>551</v>
      </c>
      <c r="C46" s="4">
        <v>146015</v>
      </c>
      <c r="D46" s="4">
        <v>596</v>
      </c>
      <c r="E46" s="4">
        <v>157940</v>
      </c>
      <c r="F46" s="5">
        <f t="shared" si="0"/>
        <v>-7.5503355704697989E-2</v>
      </c>
      <c r="G46" s="5">
        <f t="shared" si="1"/>
        <v>-7.5503355704697989E-2</v>
      </c>
    </row>
    <row r="47" spans="1:7" x14ac:dyDescent="0.35">
      <c r="A47" s="4" t="s">
        <v>75</v>
      </c>
      <c r="B47" s="4">
        <v>523</v>
      </c>
      <c r="C47" s="4">
        <v>83680</v>
      </c>
      <c r="D47" s="4">
        <v>564</v>
      </c>
      <c r="E47" s="4">
        <v>90240</v>
      </c>
      <c r="F47" s="5">
        <f t="shared" si="0"/>
        <v>-7.2695035460992902E-2</v>
      </c>
      <c r="G47" s="5">
        <f t="shared" si="1"/>
        <v>-7.2695035460992902E-2</v>
      </c>
    </row>
    <row r="48" spans="1:7" x14ac:dyDescent="0.35">
      <c r="A48" s="4" t="s">
        <v>76</v>
      </c>
      <c r="B48" s="4">
        <v>474</v>
      </c>
      <c r="C48" s="4">
        <v>73470</v>
      </c>
      <c r="D48" s="4">
        <v>488</v>
      </c>
      <c r="E48" s="4">
        <v>75640</v>
      </c>
      <c r="F48" s="5">
        <f t="shared" si="0"/>
        <v>-2.8688524590163935E-2</v>
      </c>
      <c r="G48" s="5">
        <f t="shared" si="1"/>
        <v>-2.8688524590163935E-2</v>
      </c>
    </row>
    <row r="49" spans="1:7" x14ac:dyDescent="0.35">
      <c r="A49" s="4" t="s">
        <v>77</v>
      </c>
      <c r="B49" s="4">
        <v>434</v>
      </c>
      <c r="C49" s="4">
        <v>84630</v>
      </c>
      <c r="D49" s="4">
        <v>402</v>
      </c>
      <c r="E49" s="4">
        <v>78585</v>
      </c>
      <c r="F49" s="5">
        <f t="shared" si="0"/>
        <v>7.9601990049751242E-2</v>
      </c>
      <c r="G49" s="5">
        <f t="shared" si="1"/>
        <v>7.6923076923076927E-2</v>
      </c>
    </row>
    <row r="50" spans="1:7" x14ac:dyDescent="0.35">
      <c r="A50" s="4" t="s">
        <v>78</v>
      </c>
      <c r="B50" s="4">
        <v>434</v>
      </c>
      <c r="C50" s="4">
        <v>80290</v>
      </c>
      <c r="D50" s="4">
        <v>417</v>
      </c>
      <c r="E50" s="4">
        <v>77145</v>
      </c>
      <c r="F50" s="5">
        <f t="shared" si="0"/>
        <v>4.0767386091127102E-2</v>
      </c>
      <c r="G50" s="5">
        <f t="shared" si="1"/>
        <v>4.0767386091127102E-2</v>
      </c>
    </row>
    <row r="51" spans="1:7" x14ac:dyDescent="0.35">
      <c r="A51" s="4" t="s">
        <v>79</v>
      </c>
      <c r="B51" s="4">
        <v>284</v>
      </c>
      <c r="C51" s="4">
        <v>72420</v>
      </c>
      <c r="D51" s="4">
        <v>253</v>
      </c>
      <c r="E51" s="4">
        <v>64515</v>
      </c>
      <c r="F51" s="5">
        <f t="shared" si="0"/>
        <v>0.1225296442687747</v>
      </c>
      <c r="G51" s="5">
        <f t="shared" si="1"/>
        <v>0.1225296442687747</v>
      </c>
    </row>
    <row r="52" spans="1:7" x14ac:dyDescent="0.35">
      <c r="A52" s="4" t="s">
        <v>80</v>
      </c>
      <c r="B52" s="4">
        <v>244</v>
      </c>
      <c r="C52" s="4">
        <v>51240</v>
      </c>
      <c r="D52" s="4">
        <v>212</v>
      </c>
      <c r="E52" s="4">
        <v>44520</v>
      </c>
      <c r="F52" s="5">
        <f t="shared" si="0"/>
        <v>0.15094339622641509</v>
      </c>
      <c r="G52" s="5">
        <f t="shared" si="1"/>
        <v>0.15094339622641509</v>
      </c>
    </row>
    <row r="53" spans="1:7" x14ac:dyDescent="0.35">
      <c r="A53" s="4" t="s">
        <v>81</v>
      </c>
      <c r="B53" s="4">
        <v>220</v>
      </c>
      <c r="C53" s="4">
        <v>53900</v>
      </c>
      <c r="D53" s="4">
        <v>200</v>
      </c>
      <c r="E53" s="4">
        <v>49000</v>
      </c>
      <c r="F53" s="5">
        <f t="shared" si="0"/>
        <v>0.1</v>
      </c>
      <c r="G53" s="5">
        <f t="shared" si="1"/>
        <v>0.1</v>
      </c>
    </row>
    <row r="54" spans="1:7" x14ac:dyDescent="0.35">
      <c r="A54" s="4" t="s">
        <v>82</v>
      </c>
      <c r="B54" s="4">
        <v>217</v>
      </c>
      <c r="C54" s="4">
        <v>56420</v>
      </c>
      <c r="D54" s="4">
        <v>243</v>
      </c>
      <c r="E54" s="4">
        <v>63180</v>
      </c>
      <c r="F54" s="5">
        <f t="shared" si="0"/>
        <v>-0.10699588477366255</v>
      </c>
      <c r="G54" s="5">
        <f t="shared" si="1"/>
        <v>-0.10699588477366255</v>
      </c>
    </row>
    <row r="55" spans="1:7" x14ac:dyDescent="0.35">
      <c r="A55" s="4" t="s">
        <v>83</v>
      </c>
      <c r="B55" s="4">
        <v>193</v>
      </c>
      <c r="C55" s="4">
        <v>39565</v>
      </c>
      <c r="D55" s="4">
        <v>162</v>
      </c>
      <c r="E55" s="4">
        <v>33210</v>
      </c>
      <c r="F55" s="5">
        <f t="shared" si="0"/>
        <v>0.19135802469135801</v>
      </c>
      <c r="G55" s="5">
        <f t="shared" si="1"/>
        <v>0.19135802469135801</v>
      </c>
    </row>
    <row r="56" spans="1:7" x14ac:dyDescent="0.35">
      <c r="A56" s="4" t="s">
        <v>84</v>
      </c>
      <c r="B56" s="4">
        <v>188</v>
      </c>
      <c r="C56" s="4">
        <v>41360</v>
      </c>
      <c r="D56" s="4">
        <v>169</v>
      </c>
      <c r="E56" s="4">
        <v>37180</v>
      </c>
      <c r="F56" s="5">
        <f t="shared" si="0"/>
        <v>0.11242603550295859</v>
      </c>
      <c r="G56" s="5">
        <f t="shared" si="1"/>
        <v>0.11242603550295859</v>
      </c>
    </row>
    <row r="57" spans="1:7" x14ac:dyDescent="0.35">
      <c r="A57" s="4" t="s">
        <v>85</v>
      </c>
      <c r="B57" s="4">
        <v>185</v>
      </c>
      <c r="C57" s="4">
        <v>44400</v>
      </c>
      <c r="D57" s="4">
        <v>191</v>
      </c>
      <c r="E57" s="4">
        <v>45840</v>
      </c>
      <c r="F57" s="5">
        <f t="shared" si="0"/>
        <v>-3.1413612565445025E-2</v>
      </c>
      <c r="G57" s="5">
        <f t="shared" si="1"/>
        <v>-3.1413612565445025E-2</v>
      </c>
    </row>
    <row r="58" spans="1:7" x14ac:dyDescent="0.35">
      <c r="A58" s="4" t="s">
        <v>86</v>
      </c>
      <c r="B58" s="4">
        <v>181</v>
      </c>
      <c r="C58" s="4">
        <v>48870</v>
      </c>
      <c r="D58" s="4">
        <v>158</v>
      </c>
      <c r="E58" s="4">
        <v>42660</v>
      </c>
      <c r="F58" s="5">
        <f t="shared" si="0"/>
        <v>0.14556962025316456</v>
      </c>
      <c r="G58" s="5">
        <f t="shared" si="1"/>
        <v>0.14556962025316456</v>
      </c>
    </row>
    <row r="59" spans="1:7" x14ac:dyDescent="0.35">
      <c r="A59" s="4" t="s">
        <v>87</v>
      </c>
      <c r="B59" s="4">
        <v>144</v>
      </c>
      <c r="C59" s="4">
        <v>33840</v>
      </c>
      <c r="D59" s="4">
        <v>121</v>
      </c>
      <c r="E59" s="4">
        <v>28435</v>
      </c>
      <c r="F59" s="5">
        <f t="shared" si="0"/>
        <v>0.19008264462809918</v>
      </c>
      <c r="G59" s="5">
        <f t="shared" si="1"/>
        <v>0.19008264462809918</v>
      </c>
    </row>
    <row r="60" spans="1:7" x14ac:dyDescent="0.35">
      <c r="A60" s="4" t="s">
        <v>88</v>
      </c>
      <c r="B60" s="4">
        <v>140</v>
      </c>
      <c r="C60" s="4">
        <v>30100</v>
      </c>
      <c r="D60" s="4">
        <v>142</v>
      </c>
      <c r="E60" s="4">
        <v>30530</v>
      </c>
      <c r="F60" s="5">
        <f t="shared" si="0"/>
        <v>-1.4084507042253521E-2</v>
      </c>
      <c r="G60" s="5">
        <f t="shared" si="1"/>
        <v>-1.4084507042253521E-2</v>
      </c>
    </row>
    <row r="61" spans="1:7" x14ac:dyDescent="0.35">
      <c r="A61" s="4" t="s">
        <v>89</v>
      </c>
      <c r="B61" s="4">
        <v>137</v>
      </c>
      <c r="C61" s="4">
        <v>31510</v>
      </c>
      <c r="D61" s="4">
        <v>132</v>
      </c>
      <c r="E61" s="4">
        <v>30360</v>
      </c>
      <c r="F61" s="5">
        <f t="shared" si="0"/>
        <v>3.787878787878788E-2</v>
      </c>
      <c r="G61" s="5">
        <f t="shared" si="1"/>
        <v>3.787878787878788E-2</v>
      </c>
    </row>
    <row r="62" spans="1:7" x14ac:dyDescent="0.35">
      <c r="A62" s="4" t="s">
        <v>90</v>
      </c>
      <c r="B62" s="4">
        <v>117</v>
      </c>
      <c r="C62" s="4">
        <v>33345</v>
      </c>
      <c r="D62" s="4">
        <v>115</v>
      </c>
      <c r="E62" s="4">
        <v>32775</v>
      </c>
      <c r="F62" s="5">
        <f t="shared" si="0"/>
        <v>1.7391304347826087E-2</v>
      </c>
      <c r="G62" s="5">
        <f t="shared" si="1"/>
        <v>1.7391304347826087E-2</v>
      </c>
    </row>
    <row r="63" spans="1:7" x14ac:dyDescent="0.35">
      <c r="A63" s="4" t="s">
        <v>91</v>
      </c>
      <c r="B63" s="4">
        <v>116</v>
      </c>
      <c r="C63" s="4">
        <v>32480</v>
      </c>
      <c r="D63" s="4">
        <v>107</v>
      </c>
      <c r="E63" s="4">
        <v>29960</v>
      </c>
      <c r="F63" s="5">
        <f t="shared" si="0"/>
        <v>8.4112149532710276E-2</v>
      </c>
      <c r="G63" s="5">
        <f t="shared" si="1"/>
        <v>8.4112149532710276E-2</v>
      </c>
    </row>
    <row r="64" spans="1:7" x14ac:dyDescent="0.35">
      <c r="A64" s="4" t="s">
        <v>92</v>
      </c>
      <c r="B64" s="4">
        <v>113</v>
      </c>
      <c r="C64" s="4">
        <v>33335</v>
      </c>
      <c r="D64" s="4">
        <v>114</v>
      </c>
      <c r="E64" s="4">
        <v>33630</v>
      </c>
      <c r="F64" s="5">
        <f t="shared" si="0"/>
        <v>-8.771929824561403E-3</v>
      </c>
      <c r="G64" s="5">
        <f t="shared" si="1"/>
        <v>-8.771929824561403E-3</v>
      </c>
    </row>
    <row r="65" spans="1:7" x14ac:dyDescent="0.35">
      <c r="A65" s="4" t="s">
        <v>93</v>
      </c>
      <c r="B65" s="4">
        <v>106</v>
      </c>
      <c r="C65" s="4">
        <v>29150</v>
      </c>
      <c r="D65" s="4">
        <v>112</v>
      </c>
      <c r="E65" s="4">
        <v>30800</v>
      </c>
      <c r="F65" s="5">
        <f t="shared" si="0"/>
        <v>-5.3571428571428568E-2</v>
      </c>
      <c r="G65" s="5">
        <f t="shared" si="1"/>
        <v>-5.3571428571428568E-2</v>
      </c>
    </row>
    <row r="66" spans="1:7" x14ac:dyDescent="0.35">
      <c r="A66" s="4" t="s">
        <v>94</v>
      </c>
      <c r="B66" s="4">
        <v>102</v>
      </c>
      <c r="C66" s="4">
        <v>29580</v>
      </c>
      <c r="D66" s="4">
        <v>105</v>
      </c>
      <c r="E66" s="4">
        <v>30450</v>
      </c>
      <c r="F66" s="5">
        <f t="shared" si="0"/>
        <v>-2.8571428571428571E-2</v>
      </c>
      <c r="G66" s="5">
        <f t="shared" si="1"/>
        <v>-2.8571428571428571E-2</v>
      </c>
    </row>
    <row r="67" spans="1:7" x14ac:dyDescent="0.35">
      <c r="A67" s="4" t="s">
        <v>95</v>
      </c>
      <c r="B67" s="4">
        <v>65</v>
      </c>
      <c r="C67" s="4">
        <v>25350</v>
      </c>
      <c r="D67" s="4">
        <v>61</v>
      </c>
      <c r="E67" s="4">
        <v>23790</v>
      </c>
      <c r="F67" s="5">
        <f t="shared" si="0"/>
        <v>6.5573770491803282E-2</v>
      </c>
      <c r="G67" s="5">
        <f t="shared" si="1"/>
        <v>6.5573770491803282E-2</v>
      </c>
    </row>
    <row r="68" spans="1:7" x14ac:dyDescent="0.35">
      <c r="A68" s="4" t="s">
        <v>96</v>
      </c>
      <c r="B68" s="4">
        <v>55</v>
      </c>
      <c r="C68" s="4">
        <v>17050</v>
      </c>
      <c r="D68" s="4">
        <v>42</v>
      </c>
      <c r="E68" s="4">
        <v>13020</v>
      </c>
      <c r="F68" s="5">
        <f t="shared" si="0"/>
        <v>0.30952380952380953</v>
      </c>
      <c r="G68" s="5">
        <f t="shared" si="1"/>
        <v>0.30952380952380953</v>
      </c>
    </row>
    <row r="69" spans="1:7" x14ac:dyDescent="0.35">
      <c r="A69" s="4" t="s">
        <v>97</v>
      </c>
      <c r="B69" s="4">
        <v>53</v>
      </c>
      <c r="C69" s="4">
        <v>18020</v>
      </c>
      <c r="D69" s="4">
        <v>46</v>
      </c>
      <c r="E69" s="4">
        <v>15640</v>
      </c>
      <c r="F69" s="5">
        <f t="shared" ref="F69:F84" si="6">(B69-D69)/D69</f>
        <v>0.15217391304347827</v>
      </c>
      <c r="G69" s="5">
        <f t="shared" ref="G69:G84" si="7">(C69-E69)/E69</f>
        <v>0.15217391304347827</v>
      </c>
    </row>
    <row r="70" spans="1:7" x14ac:dyDescent="0.35">
      <c r="A70" s="4" t="s">
        <v>98</v>
      </c>
      <c r="B70" s="4">
        <v>45</v>
      </c>
      <c r="C70" s="4">
        <v>16200</v>
      </c>
      <c r="D70" s="4">
        <v>47</v>
      </c>
      <c r="E70" s="4">
        <v>16920</v>
      </c>
      <c r="F70" s="5">
        <f t="shared" si="6"/>
        <v>-4.2553191489361701E-2</v>
      </c>
      <c r="G70" s="5">
        <f t="shared" si="7"/>
        <v>-4.2553191489361701E-2</v>
      </c>
    </row>
    <row r="71" spans="1:7" x14ac:dyDescent="0.35">
      <c r="A71" s="4" t="s">
        <v>99</v>
      </c>
      <c r="B71" s="4">
        <v>39</v>
      </c>
      <c r="C71" s="4">
        <v>11895</v>
      </c>
      <c r="D71" s="4">
        <v>46</v>
      </c>
      <c r="E71" s="4">
        <v>14030</v>
      </c>
      <c r="F71" s="5">
        <f t="shared" si="6"/>
        <v>-0.15217391304347827</v>
      </c>
      <c r="G71" s="5">
        <f t="shared" si="7"/>
        <v>-0.15217391304347827</v>
      </c>
    </row>
    <row r="72" spans="1:7" x14ac:dyDescent="0.35">
      <c r="A72" s="4" t="s">
        <v>100</v>
      </c>
      <c r="B72" s="4">
        <v>38</v>
      </c>
      <c r="C72" s="4">
        <v>12540</v>
      </c>
      <c r="D72" s="4">
        <v>32</v>
      </c>
      <c r="E72" s="4">
        <v>10560</v>
      </c>
      <c r="F72" s="5">
        <f t="shared" si="6"/>
        <v>0.1875</v>
      </c>
      <c r="G72" s="5">
        <f t="shared" si="7"/>
        <v>0.1875</v>
      </c>
    </row>
    <row r="73" spans="1:7" x14ac:dyDescent="0.35">
      <c r="A73" s="4" t="s">
        <v>101</v>
      </c>
      <c r="B73" s="4">
        <v>35</v>
      </c>
      <c r="C73" s="4">
        <v>13300</v>
      </c>
      <c r="D73" s="4">
        <v>46</v>
      </c>
      <c r="E73" s="4">
        <v>17480</v>
      </c>
      <c r="F73" s="5">
        <f t="shared" si="6"/>
        <v>-0.2391304347826087</v>
      </c>
      <c r="G73" s="5">
        <f t="shared" si="7"/>
        <v>-0.2391304347826087</v>
      </c>
    </row>
    <row r="74" spans="1:7" x14ac:dyDescent="0.35">
      <c r="A74" s="4" t="s">
        <v>102</v>
      </c>
      <c r="B74" s="4">
        <v>35</v>
      </c>
      <c r="C74" s="4">
        <v>11725</v>
      </c>
      <c r="D74" s="4">
        <v>30</v>
      </c>
      <c r="E74" s="4">
        <v>10050</v>
      </c>
      <c r="F74" s="5">
        <f t="shared" si="6"/>
        <v>0.16666666666666666</v>
      </c>
      <c r="G74" s="5">
        <f t="shared" si="7"/>
        <v>0.16666666666666666</v>
      </c>
    </row>
    <row r="75" spans="1:7" x14ac:dyDescent="0.35">
      <c r="A75" s="4" t="s">
        <v>103</v>
      </c>
      <c r="B75" s="4">
        <v>34</v>
      </c>
      <c r="C75" s="4">
        <v>13430</v>
      </c>
      <c r="D75" s="4">
        <v>41</v>
      </c>
      <c r="E75" s="4">
        <v>16195</v>
      </c>
      <c r="F75" s="5">
        <f t="shared" si="6"/>
        <v>-0.17073170731707318</v>
      </c>
      <c r="G75" s="5">
        <f t="shared" si="7"/>
        <v>-0.17073170731707318</v>
      </c>
    </row>
    <row r="76" spans="1:7" x14ac:dyDescent="0.35">
      <c r="A76" s="4" t="s">
        <v>104</v>
      </c>
      <c r="B76" s="4">
        <v>32</v>
      </c>
      <c r="C76" s="4">
        <v>11360</v>
      </c>
      <c r="D76" s="4">
        <v>28</v>
      </c>
      <c r="E76" s="4">
        <v>9940</v>
      </c>
      <c r="F76" s="5">
        <f t="shared" si="6"/>
        <v>0.14285714285714285</v>
      </c>
      <c r="G76" s="5">
        <f t="shared" si="7"/>
        <v>0.14285714285714285</v>
      </c>
    </row>
    <row r="77" spans="1:7" x14ac:dyDescent="0.35">
      <c r="A77" s="4" t="s">
        <v>105</v>
      </c>
      <c r="B77" s="4">
        <v>32</v>
      </c>
      <c r="C77" s="4">
        <v>10240</v>
      </c>
      <c r="D77" s="4">
        <v>32</v>
      </c>
      <c r="E77" s="4">
        <v>10240</v>
      </c>
      <c r="F77" s="5">
        <f t="shared" si="6"/>
        <v>0</v>
      </c>
      <c r="G77" s="5">
        <f t="shared" si="7"/>
        <v>0</v>
      </c>
    </row>
    <row r="78" spans="1:7" x14ac:dyDescent="0.35">
      <c r="A78" s="4" t="s">
        <v>106</v>
      </c>
      <c r="B78" s="4">
        <v>31</v>
      </c>
      <c r="C78" s="4">
        <v>10075</v>
      </c>
      <c r="D78" s="4">
        <v>39</v>
      </c>
      <c r="E78" s="4">
        <v>12675</v>
      </c>
      <c r="F78" s="5">
        <f t="shared" si="6"/>
        <v>-0.20512820512820512</v>
      </c>
      <c r="G78" s="5">
        <f t="shared" si="7"/>
        <v>-0.20512820512820512</v>
      </c>
    </row>
    <row r="79" spans="1:7" x14ac:dyDescent="0.35">
      <c r="A79" s="4" t="s">
        <v>107</v>
      </c>
      <c r="B79" s="4">
        <v>30</v>
      </c>
      <c r="C79" s="4">
        <v>11100</v>
      </c>
      <c r="D79" s="4">
        <v>34</v>
      </c>
      <c r="E79" s="4">
        <v>12580</v>
      </c>
      <c r="F79" s="5">
        <f t="shared" si="6"/>
        <v>-0.11764705882352941</v>
      </c>
      <c r="G79" s="5">
        <f t="shared" si="7"/>
        <v>-0.11764705882352941</v>
      </c>
    </row>
    <row r="80" spans="1:7" x14ac:dyDescent="0.35">
      <c r="A80" s="4" t="s">
        <v>108</v>
      </c>
      <c r="B80" s="4">
        <v>30</v>
      </c>
      <c r="C80" s="4">
        <v>10350</v>
      </c>
      <c r="D80" s="4">
        <v>40</v>
      </c>
      <c r="E80" s="4">
        <v>13800</v>
      </c>
      <c r="F80" s="5">
        <f t="shared" si="6"/>
        <v>-0.25</v>
      </c>
      <c r="G80" s="5">
        <f t="shared" si="7"/>
        <v>-0.25</v>
      </c>
    </row>
    <row r="81" spans="1:7" x14ac:dyDescent="0.35">
      <c r="A81" s="4" t="s">
        <v>109</v>
      </c>
      <c r="B81" s="4">
        <v>25</v>
      </c>
      <c r="C81" s="4">
        <v>9625</v>
      </c>
      <c r="D81" s="4">
        <v>27</v>
      </c>
      <c r="E81" s="4">
        <v>10395</v>
      </c>
      <c r="F81" s="5">
        <f t="shared" si="6"/>
        <v>-7.407407407407407E-2</v>
      </c>
      <c r="G81" s="5">
        <f t="shared" si="7"/>
        <v>-7.407407407407407E-2</v>
      </c>
    </row>
    <row r="82" spans="1:7" x14ac:dyDescent="0.35">
      <c r="A82" s="4" t="s">
        <v>110</v>
      </c>
      <c r="B82" s="4">
        <v>25</v>
      </c>
      <c r="C82" s="4">
        <v>7875</v>
      </c>
      <c r="D82" s="4">
        <v>19</v>
      </c>
      <c r="E82" s="4">
        <v>5985</v>
      </c>
      <c r="F82" s="5">
        <f t="shared" si="6"/>
        <v>0.31578947368421051</v>
      </c>
      <c r="G82" s="5">
        <f t="shared" si="7"/>
        <v>0.31578947368421051</v>
      </c>
    </row>
    <row r="83" spans="1:7" x14ac:dyDescent="0.35">
      <c r="A83" s="4" t="s">
        <v>111</v>
      </c>
      <c r="B83" s="4">
        <v>24</v>
      </c>
      <c r="C83" s="4">
        <v>9000</v>
      </c>
      <c r="D83" s="4">
        <v>26</v>
      </c>
      <c r="E83" s="4">
        <v>9750</v>
      </c>
      <c r="F83" s="5">
        <f t="shared" si="6"/>
        <v>-7.6923076923076927E-2</v>
      </c>
      <c r="G83" s="5">
        <f t="shared" si="7"/>
        <v>-7.6923076923076927E-2</v>
      </c>
    </row>
    <row r="84" spans="1:7" x14ac:dyDescent="0.35">
      <c r="A84" s="4" t="s">
        <v>112</v>
      </c>
      <c r="B84" s="4">
        <v>24</v>
      </c>
      <c r="C84" s="4">
        <v>8760</v>
      </c>
      <c r="D84" s="4">
        <v>14</v>
      </c>
      <c r="E84" s="4">
        <v>5110</v>
      </c>
      <c r="F84" s="5">
        <f t="shared" si="6"/>
        <v>0.7142857142857143</v>
      </c>
      <c r="G84" s="5">
        <f t="shared" si="7"/>
        <v>0.7142857142857143</v>
      </c>
    </row>
  </sheetData>
  <mergeCells count="12">
    <mergeCell ref="Q1:Q3"/>
    <mergeCell ref="R2:S2"/>
    <mergeCell ref="T2:U2"/>
    <mergeCell ref="B1:G1"/>
    <mergeCell ref="J1:O1"/>
    <mergeCell ref="R1:W1"/>
    <mergeCell ref="B2:C2"/>
    <mergeCell ref="D2:E2"/>
    <mergeCell ref="A1:A3"/>
    <mergeCell ref="I1:I3"/>
    <mergeCell ref="J2:K2"/>
    <mergeCell ref="L2:M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Journey ANalytics</vt:lpstr>
      <vt:lpstr>Entry Point</vt:lpstr>
      <vt:lpstr>Product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Lakha, Vodacom</dc:creator>
  <cp:lastModifiedBy>Nikhil Lakha, Vodacom</cp:lastModifiedBy>
  <dcterms:created xsi:type="dcterms:W3CDTF">2026-08-03T11:43:31Z</dcterms:created>
  <dcterms:modified xsi:type="dcterms:W3CDTF">2026-10-06T09:36:39Z</dcterms:modified>
</cp:coreProperties>
</file>