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dafone-my.sharepoint.com/personal/nikhil_lakha_vodacom_co_za/Documents/Documents/Month end reports/Month End Excel Templates/"/>
    </mc:Choice>
  </mc:AlternateContent>
  <xr:revisionPtr revIDLastSave="69" documentId="8_{47ED8D92-0E42-47BA-A496-CBD339A7D81B}" xr6:coauthVersionLast="47" xr6:coauthVersionMax="47" xr10:uidLastSave="{FF5CB79A-CC5B-4543-A240-C50B1F3106B9}"/>
  <bookViews>
    <workbookView xWindow="19090" yWindow="-110" windowWidth="19420" windowHeight="10300" xr2:uid="{5E50BDF3-B1A8-431B-A74D-68D20C7C7CE9}"/>
  </bookViews>
  <sheets>
    <sheet name="Overview" sheetId="1" r:id="rId1"/>
    <sheet name="Journey ANalytics" sheetId="3" r:id="rId2"/>
    <sheet name="Entry Point" sheetId="2" r:id="rId3"/>
    <sheet name="Error Analytics" sheetId="4" r:id="rId4"/>
  </sheets>
  <definedNames>
    <definedName name="_xlnm._FilterDatabase" localSheetId="1" hidden="1">'Journey ANalytics'!$A$1:$D$7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1" l="1"/>
  <c r="C5" i="1"/>
  <c r="D5" i="1"/>
  <c r="E5" i="1"/>
  <c r="B5" i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E7" i="2"/>
  <c r="F7" i="2"/>
  <c r="F3" i="1"/>
  <c r="F2" i="1"/>
  <c r="D2" i="4"/>
  <c r="D3" i="4"/>
  <c r="E3" i="3"/>
  <c r="F3" i="3"/>
  <c r="G3" i="3"/>
  <c r="E4" i="3"/>
  <c r="F4" i="3"/>
  <c r="G4" i="3"/>
  <c r="E5" i="3"/>
  <c r="F5" i="3"/>
  <c r="G5" i="3"/>
  <c r="F2" i="3"/>
  <c r="G2" i="3"/>
  <c r="E2" i="3"/>
  <c r="E3" i="2"/>
  <c r="E4" i="2"/>
  <c r="E5" i="2"/>
  <c r="E6" i="2"/>
  <c r="E2" i="2"/>
  <c r="F3" i="2"/>
  <c r="F4" i="2"/>
  <c r="F5" i="2"/>
  <c r="F6" i="2"/>
  <c r="F2" i="2"/>
</calcChain>
</file>

<file path=xl/sharedStrings.xml><?xml version="1.0" encoding="utf-8"?>
<sst xmlns="http://schemas.openxmlformats.org/spreadsheetml/2006/main" count="54" uniqueCount="52">
  <si>
    <t>2 months ago</t>
  </si>
  <si>
    <t>Last month</t>
  </si>
  <si>
    <t>Period</t>
  </si>
  <si>
    <t>Visits</t>
  </si>
  <si>
    <t>Starts</t>
  </si>
  <si>
    <t>Orders</t>
  </si>
  <si>
    <t>GMV</t>
  </si>
  <si>
    <t>Completion Rate</t>
  </si>
  <si>
    <t>vodapay: home: recharge: airtime advance</t>
  </si>
  <si>
    <t>vodapay: home: airtimeadvance: airtime</t>
  </si>
  <si>
    <t>vodapay:  buy: landing page: buy airtime and bundles: airtime advance</t>
  </si>
  <si>
    <t>vodapay: home: airtimeadvance: data</t>
  </si>
  <si>
    <t>vodapay: home: airtimeadvance: voice</t>
  </si>
  <si>
    <t>Link Name</t>
  </si>
  <si>
    <t>Clicks</t>
  </si>
  <si>
    <t>Session to Conversion Rate</t>
  </si>
  <si>
    <t>Click to Session</t>
  </si>
  <si>
    <t>Step 1 - Airtime Advance - Product View</t>
  </si>
  <si>
    <t>Step 3 - Airtime Advance - Payment Summary</t>
  </si>
  <si>
    <t>Step 2 - Airtime Advance - Product Selection</t>
  </si>
  <si>
    <t>Step 4 - Airtime Advance - Payment Success</t>
  </si>
  <si>
    <t>Steps</t>
  </si>
  <si>
    <t>Airtime</t>
  </si>
  <si>
    <t>Data</t>
  </si>
  <si>
    <t>Voice</t>
  </si>
  <si>
    <t>Error Name</t>
  </si>
  <si>
    <t>Last Month</t>
  </si>
  <si>
    <t>2 Months Ago</t>
  </si>
  <si>
    <t>Change</t>
  </si>
  <si>
    <t>Airtime %</t>
  </si>
  <si>
    <t>Data %</t>
  </si>
  <si>
    <t>Voice %</t>
  </si>
  <si>
    <t>vodapay: home: airtimeadvance: pay now</t>
  </si>
  <si>
    <t>insufficient money</t>
  </si>
  <si>
    <t>your transaction was unsuccessful. please use a different card or contact your bank for assistance.</t>
  </si>
  <si>
    <t>there are currently no offers in this category, please select a different category.</t>
  </si>
  <si>
    <t>payment failed</t>
  </si>
  <si>
    <t>network error</t>
  </si>
  <si>
    <t>subscription failed due to insufficient funds.</t>
  </si>
  <si>
    <t>unfortunately we are having technical issues on this functionality and are working to resolve these as soon as possible. please try again later.</t>
  </si>
  <si>
    <t>unfortunately there was a technical error while processing your request</t>
  </si>
  <si>
    <t>there seems to a problem on our side, please try again later.</t>
  </si>
  <si>
    <t>network error, please try again later.</t>
  </si>
  <si>
    <t>you do not have enough airtime. please select a cheaper bundle or buy airtime first.</t>
  </si>
  <si>
    <t>timeout of 40000ms exceeded</t>
  </si>
  <si>
    <t>unexpected error</t>
  </si>
  <si>
    <t>recognition failure</t>
  </si>
  <si>
    <t>you’ve run out of airtime or reached your monthly buying limit. please select a cheaper bundle, top up prepaid airtime, or call 082 135 to increase your contract’s limit.</t>
  </si>
  <si>
    <t>new pin cannot be same with old pin.please enter a valid pin.</t>
  </si>
  <si>
    <t>postal code is required.</t>
  </si>
  <si>
    <t>error_insufficient_airtime</t>
  </si>
  <si>
    <t>please use only letters (no special characters).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</si>
</sst>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&quot;#,##0.00;[Red]\-&quot;R&quot;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9" fontId="0" fillId="0" borderId="0" xfId="0" applyNumberFormat="1"/>
    <xf numFmtId="10" fontId="0" fillId="0" borderId="0" xfId="0" applyNumberFormat="1"/>
    <xf numFmtId="8" fontId="0" fillId="0" borderId="0" xfId="0" applyNumberFormat="1"/>
    <xf numFmtId="0" fontId="0" fillId="0" borderId="1" xfId="0" applyBorder="1"/>
    <xf numFmtId="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2060B-9D6F-436B-B222-62B6266ADB1B}">
  <dimension ref="A1:F5"/>
  <sheetViews>
    <sheetView tabSelected="1" workbookViewId="0">
      <selection activeCell="B9" sqref="B9"/>
    </sheetView>
  </sheetViews>
  <sheetFormatPr defaultRowHeight="14.5" x14ac:dyDescent="0.35"/>
  <cols>
    <col min="1" max="1" width="11.54296875" bestFit="1" customWidth="1"/>
    <col min="2" max="4" width="12.453125" bestFit="1" customWidth="1"/>
    <col min="5" max="5" width="13.26953125" bestFit="1" customWidth="1"/>
    <col min="6" max="6" width="14.36328125" bestFit="1" customWidth="1"/>
  </cols>
  <sheetData>
    <row r="1" spans="1:6" x14ac:dyDescent="0.3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</row>
    <row r="2" spans="1:6" x14ac:dyDescent="0.35">
      <c r="A2" t="s">
        <v>1</v>
      </c>
      <c r="B2">
        <v>3419145</v>
      </c>
      <c r="C2">
        <v>1472017</v>
      </c>
      <c r="D2">
        <v>929948</v>
      </c>
      <c r="E2" s="3">
        <v>22409539</v>
      </c>
      <c r="F2" s="2">
        <f>D2/C2</f>
        <v>0.63175085613821036</v>
      </c>
    </row>
    <row r="3" spans="1:6" x14ac:dyDescent="0.35">
      <c r="A3" t="s">
        <v>0</v>
      </c>
      <c r="B3">
        <v>2358177</v>
      </c>
      <c r="C3">
        <v>1187829</v>
      </c>
      <c r="D3">
        <v>727146</v>
      </c>
      <c r="E3" s="3">
        <v>17418518</v>
      </c>
      <c r="F3" s="2">
        <f>D3/C3</f>
        <v>0.61216387207249523</v>
      </c>
    </row>
    <row r="4" spans="1:6" x14ac:dyDescent="0.35">
      <c r="E4" s="3"/>
    </row>
    <row r="5" spans="1:6" x14ac:dyDescent="0.35">
      <c r="B5" s="1">
        <f>(B2-B3)/B3</f>
        <v>0.44991024846735422</v>
      </c>
      <c r="C5" s="1">
        <f t="shared" ref="C5:E5" si="0">(C2-C3)/C3</f>
        <v>0.2392499257047942</v>
      </c>
      <c r="D5" s="1">
        <f t="shared" si="0"/>
        <v>0.27890134855998655</v>
      </c>
      <c r="E5" s="1">
        <f t="shared" si="0"/>
        <v>0.28653534129597019</v>
      </c>
      <c r="F5" s="1">
        <f>F2-F3</f>
        <v>1.958698406571513E-2</v>
      </c>
    </row>
  </sheetData>
  <pageMargins left="0.7" right="0.7" top="0.75" bottom="0.75" header="0.3" footer="0.3"/>
  <headerFooter>
    <oddFooter>&amp;L_x000D_&amp;1#&amp;"Aptos"&amp;7&amp;K000000 C2 General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71A7E-60B3-4FA3-B28D-E26E26AB54C8}">
  <dimension ref="A1:G5"/>
  <sheetViews>
    <sheetView workbookViewId="0">
      <selection activeCell="A11" sqref="A11"/>
    </sheetView>
  </sheetViews>
  <sheetFormatPr defaultRowHeight="14.5" x14ac:dyDescent="0.35"/>
  <cols>
    <col min="1" max="1" width="37.1796875" bestFit="1" customWidth="1"/>
    <col min="2" max="4" width="6.81640625" bestFit="1" customWidth="1"/>
    <col min="5" max="5" width="8.54296875" bestFit="1" customWidth="1"/>
    <col min="6" max="6" width="6.6328125" bestFit="1" customWidth="1"/>
    <col min="7" max="7" width="7.2695312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29</v>
      </c>
      <c r="F1" t="s">
        <v>30</v>
      </c>
      <c r="G1" t="s">
        <v>31</v>
      </c>
    </row>
    <row r="2" spans="1:7" x14ac:dyDescent="0.35">
      <c r="A2" t="s">
        <v>17</v>
      </c>
      <c r="B2">
        <v>983324</v>
      </c>
      <c r="C2">
        <v>369780</v>
      </c>
      <c r="D2">
        <v>140259</v>
      </c>
      <c r="E2" s="1">
        <f>B3/B2</f>
        <v>0.77032798955379911</v>
      </c>
      <c r="F2" s="1">
        <f t="shared" ref="F2:G2" si="0">C3/C2</f>
        <v>0.16119584617880903</v>
      </c>
      <c r="G2" s="1">
        <f t="shared" si="0"/>
        <v>0.51128982810372237</v>
      </c>
    </row>
    <row r="3" spans="1:7" x14ac:dyDescent="0.35">
      <c r="A3" t="s">
        <v>19</v>
      </c>
      <c r="B3">
        <v>757482</v>
      </c>
      <c r="C3">
        <v>59607</v>
      </c>
      <c r="D3">
        <v>71713</v>
      </c>
      <c r="E3" s="1">
        <f t="shared" ref="E3:E5" si="1">B4/B3</f>
        <v>0.99294240655223487</v>
      </c>
      <c r="F3" s="1">
        <f t="shared" ref="F3:F5" si="2">C4/C3</f>
        <v>0.9518345160803261</v>
      </c>
      <c r="G3" s="1">
        <f t="shared" ref="G3:G5" si="3">D4/D3</f>
        <v>0.99810355165730058</v>
      </c>
    </row>
    <row r="4" spans="1:7" x14ac:dyDescent="0.35">
      <c r="A4" t="s">
        <v>18</v>
      </c>
      <c r="B4">
        <v>752136</v>
      </c>
      <c r="C4">
        <v>56736</v>
      </c>
      <c r="D4">
        <v>71577</v>
      </c>
      <c r="E4" s="1">
        <f t="shared" si="1"/>
        <v>0.90553836008381461</v>
      </c>
      <c r="F4" s="1">
        <f t="shared" si="2"/>
        <v>0.72780950366610264</v>
      </c>
      <c r="G4" s="1">
        <f t="shared" si="3"/>
        <v>0.73882671807983014</v>
      </c>
    </row>
    <row r="5" spans="1:7" x14ac:dyDescent="0.35">
      <c r="A5" t="s">
        <v>20</v>
      </c>
      <c r="B5">
        <v>681088</v>
      </c>
      <c r="C5">
        <v>41293</v>
      </c>
      <c r="D5">
        <v>52883</v>
      </c>
      <c r="E5" s="1">
        <f t="shared" si="1"/>
        <v>0</v>
      </c>
      <c r="F5" s="1">
        <f t="shared" si="2"/>
        <v>0</v>
      </c>
      <c r="G5" s="1">
        <f t="shared" si="3"/>
        <v>0</v>
      </c>
    </row>
  </sheetData>
  <pageMargins left="0.7" right="0.7" top="0.75" bottom="0.75" header="0.3" footer="0.3"/>
  <headerFooter>
    <oddFooter>&amp;L_x000D_&amp;1#&amp;"Aptos"&amp;7&amp;K000000 C2 General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59BCC-DBBB-48D7-96B6-7F4D48323FD6}">
  <dimension ref="A1:F7"/>
  <sheetViews>
    <sheetView workbookViewId="0">
      <selection activeCell="A13" sqref="A13"/>
    </sheetView>
  </sheetViews>
  <sheetFormatPr defaultRowHeight="14.5" x14ac:dyDescent="0.35"/>
  <cols>
    <col min="1" max="1" width="59" bestFit="1" customWidth="1"/>
    <col min="5" max="5" width="13.6328125" style="1" bestFit="1" customWidth="1"/>
    <col min="6" max="6" width="22.90625" style="1" bestFit="1" customWidth="1"/>
  </cols>
  <sheetData>
    <row r="1" spans="1:6" x14ac:dyDescent="0.35">
      <c r="A1" t="s">
        <v>13</v>
      </c>
      <c r="B1" t="s">
        <v>14</v>
      </c>
      <c r="C1" t="s">
        <v>3</v>
      </c>
      <c r="D1" t="s">
        <v>5</v>
      </c>
      <c r="E1" s="1" t="s">
        <v>16</v>
      </c>
      <c r="F1" s="1" t="s">
        <v>15</v>
      </c>
    </row>
    <row r="2" spans="1:6" x14ac:dyDescent="0.35">
      <c r="A2" t="s">
        <v>8</v>
      </c>
      <c r="B2">
        <v>1090077</v>
      </c>
      <c r="C2">
        <v>812975</v>
      </c>
      <c r="D2">
        <v>265547</v>
      </c>
      <c r="E2" s="1">
        <f>C2/B2</f>
        <v>0.74579593918594744</v>
      </c>
      <c r="F2" s="1">
        <f>D2/C2</f>
        <v>0.32663612042190721</v>
      </c>
    </row>
    <row r="3" spans="1:6" x14ac:dyDescent="0.35">
      <c r="A3" t="s">
        <v>9</v>
      </c>
      <c r="B3">
        <v>519371</v>
      </c>
      <c r="C3">
        <v>394726</v>
      </c>
      <c r="D3">
        <v>204879</v>
      </c>
      <c r="E3" s="1">
        <f t="shared" ref="E3:E6" si="0">C3/B3</f>
        <v>0.76000777863993174</v>
      </c>
      <c r="F3" s="1">
        <f t="shared" ref="F3:F6" si="1">D3/C3</f>
        <v>0.51904105632768049</v>
      </c>
    </row>
    <row r="4" spans="1:6" x14ac:dyDescent="0.35">
      <c r="A4" t="s">
        <v>10</v>
      </c>
      <c r="B4">
        <v>376397</v>
      </c>
      <c r="C4">
        <v>372301</v>
      </c>
      <c r="D4">
        <v>58425</v>
      </c>
      <c r="E4" s="1">
        <f t="shared" si="0"/>
        <v>0.98911787288421538</v>
      </c>
      <c r="F4" s="1">
        <f t="shared" si="1"/>
        <v>0.15692947373227575</v>
      </c>
    </row>
    <row r="5" spans="1:6" x14ac:dyDescent="0.35">
      <c r="A5" t="s">
        <v>11</v>
      </c>
      <c r="B5">
        <v>361499</v>
      </c>
      <c r="C5">
        <v>235040</v>
      </c>
      <c r="D5">
        <v>34660</v>
      </c>
      <c r="E5" s="1">
        <f t="shared" si="0"/>
        <v>0.65018160492836774</v>
      </c>
      <c r="F5" s="1">
        <f t="shared" si="1"/>
        <v>0.1474642614023145</v>
      </c>
    </row>
    <row r="6" spans="1:6" x14ac:dyDescent="0.35">
      <c r="A6" t="s">
        <v>32</v>
      </c>
      <c r="B6">
        <v>78548</v>
      </c>
      <c r="C6">
        <v>25718</v>
      </c>
      <c r="D6">
        <v>4213</v>
      </c>
      <c r="E6" s="1">
        <f t="shared" si="0"/>
        <v>0.32741762998421348</v>
      </c>
      <c r="F6" s="1">
        <f t="shared" si="1"/>
        <v>0.16381522668947818</v>
      </c>
    </row>
    <row r="7" spans="1:6" x14ac:dyDescent="0.35">
      <c r="A7" t="s">
        <v>12</v>
      </c>
      <c r="B7">
        <v>35785</v>
      </c>
      <c r="C7">
        <v>28301</v>
      </c>
      <c r="D7">
        <v>7912</v>
      </c>
      <c r="E7" s="1">
        <f t="shared" ref="E7" si="2">C7/B7</f>
        <v>0.79086209305574962</v>
      </c>
      <c r="F7" s="1">
        <f t="shared" ref="F7" si="3">D7/C7</f>
        <v>0.27956609307091623</v>
      </c>
    </row>
  </sheetData>
  <pageMargins left="0.7" right="0.7" top="0.75" bottom="0.75" header="0.3" footer="0.3"/>
  <headerFooter>
    <oddFooter>&amp;L_x000D_&amp;1#&amp;"Aptos"&amp;7&amp;K000000 C2 General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062A8-04BF-41DD-A29B-2DE62C61725B}">
  <dimension ref="A1:D20"/>
  <sheetViews>
    <sheetView workbookViewId="0">
      <selection activeCell="A21" sqref="A21"/>
    </sheetView>
  </sheetViews>
  <sheetFormatPr defaultRowHeight="14.5" x14ac:dyDescent="0.35"/>
  <cols>
    <col min="1" max="1" width="106.7265625" bestFit="1" customWidth="1"/>
    <col min="2" max="2" width="9.7265625" bestFit="1" customWidth="1"/>
    <col min="3" max="3" width="11.54296875" bestFit="1" customWidth="1"/>
  </cols>
  <sheetData>
    <row r="1" spans="1:4" x14ac:dyDescent="0.35">
      <c r="A1" s="4" t="s">
        <v>25</v>
      </c>
      <c r="B1" s="4" t="s">
        <v>26</v>
      </c>
      <c r="C1" s="4" t="s">
        <v>27</v>
      </c>
      <c r="D1" s="4" t="s">
        <v>28</v>
      </c>
    </row>
    <row r="2" spans="1:4" x14ac:dyDescent="0.35">
      <c r="A2" s="4" t="s">
        <v>33</v>
      </c>
      <c r="B2" s="4">
        <v>1962</v>
      </c>
      <c r="C2" s="4">
        <v>1236</v>
      </c>
      <c r="D2" s="5">
        <f t="shared" ref="D2:D20" si="0">(B2-C2)/C2</f>
        <v>0.58737864077669899</v>
      </c>
    </row>
    <row r="3" spans="1:4" x14ac:dyDescent="0.35">
      <c r="A3" s="4" t="s">
        <v>34</v>
      </c>
      <c r="B3" s="4">
        <v>1438</v>
      </c>
      <c r="C3" s="4">
        <v>984</v>
      </c>
      <c r="D3" s="5">
        <f t="shared" si="0"/>
        <v>0.4613821138211382</v>
      </c>
    </row>
    <row r="4" spans="1:4" x14ac:dyDescent="0.35">
      <c r="A4" s="4" t="s">
        <v>35</v>
      </c>
      <c r="B4" s="4">
        <v>983</v>
      </c>
      <c r="C4" s="4">
        <v>2534</v>
      </c>
      <c r="D4" s="5">
        <f t="shared" si="0"/>
        <v>-0.61207576953433307</v>
      </c>
    </row>
    <row r="5" spans="1:4" x14ac:dyDescent="0.35">
      <c r="A5" s="4" t="s">
        <v>36</v>
      </c>
      <c r="B5" s="4">
        <v>873</v>
      </c>
      <c r="C5" s="4">
        <v>774</v>
      </c>
      <c r="D5" s="5">
        <f t="shared" si="0"/>
        <v>0.12790697674418605</v>
      </c>
    </row>
    <row r="6" spans="1:4" x14ac:dyDescent="0.35">
      <c r="A6" s="4" t="s">
        <v>37</v>
      </c>
      <c r="B6" s="4">
        <v>636</v>
      </c>
      <c r="C6" s="4">
        <v>387</v>
      </c>
      <c r="D6" s="5">
        <f t="shared" si="0"/>
        <v>0.64341085271317833</v>
      </c>
    </row>
    <row r="7" spans="1:4" x14ac:dyDescent="0.35">
      <c r="A7" s="4" t="s">
        <v>38</v>
      </c>
      <c r="B7" s="4">
        <v>586</v>
      </c>
      <c r="C7" s="4">
        <v>438</v>
      </c>
      <c r="D7" s="5">
        <f t="shared" si="0"/>
        <v>0.33789954337899542</v>
      </c>
    </row>
    <row r="8" spans="1:4" x14ac:dyDescent="0.35">
      <c r="A8" s="4" t="s">
        <v>39</v>
      </c>
      <c r="B8" s="4">
        <v>581</v>
      </c>
      <c r="C8" s="4">
        <v>170</v>
      </c>
      <c r="D8" s="5">
        <f t="shared" si="0"/>
        <v>2.4176470588235293</v>
      </c>
    </row>
    <row r="9" spans="1:4" x14ac:dyDescent="0.35">
      <c r="A9" s="4" t="s">
        <v>40</v>
      </c>
      <c r="B9" s="4">
        <v>572</v>
      </c>
      <c r="C9" s="4">
        <v>360</v>
      </c>
      <c r="D9" s="5">
        <f t="shared" si="0"/>
        <v>0.58888888888888891</v>
      </c>
    </row>
    <row r="10" spans="1:4" x14ac:dyDescent="0.35">
      <c r="A10" s="4" t="s">
        <v>41</v>
      </c>
      <c r="B10" s="4">
        <v>548</v>
      </c>
      <c r="C10" s="4">
        <v>344</v>
      </c>
      <c r="D10" s="5">
        <f t="shared" si="0"/>
        <v>0.59302325581395354</v>
      </c>
    </row>
    <row r="11" spans="1:4" x14ac:dyDescent="0.35">
      <c r="A11" s="4" t="s">
        <v>42</v>
      </c>
      <c r="B11" s="4">
        <v>535</v>
      </c>
      <c r="C11" s="4">
        <v>344</v>
      </c>
      <c r="D11" s="5">
        <f t="shared" si="0"/>
        <v>0.55523255813953487</v>
      </c>
    </row>
    <row r="12" spans="1:4" x14ac:dyDescent="0.35">
      <c r="A12" s="4" t="s">
        <v>43</v>
      </c>
      <c r="B12" s="4">
        <v>506</v>
      </c>
      <c r="C12" s="4">
        <v>286</v>
      </c>
      <c r="D12" s="5">
        <f t="shared" si="0"/>
        <v>0.76923076923076927</v>
      </c>
    </row>
    <row r="13" spans="1:4" x14ac:dyDescent="0.35">
      <c r="A13" s="4" t="s">
        <v>44</v>
      </c>
      <c r="B13" s="4">
        <v>499</v>
      </c>
      <c r="C13" s="4">
        <v>588</v>
      </c>
      <c r="D13" s="5">
        <f t="shared" si="0"/>
        <v>-0.15136054421768708</v>
      </c>
    </row>
    <row r="14" spans="1:4" x14ac:dyDescent="0.35">
      <c r="A14" s="4" t="s">
        <v>45</v>
      </c>
      <c r="B14" s="4">
        <v>451</v>
      </c>
      <c r="C14" s="4">
        <v>304</v>
      </c>
      <c r="D14" s="5">
        <f t="shared" si="0"/>
        <v>0.48355263157894735</v>
      </c>
    </row>
    <row r="15" spans="1:4" x14ac:dyDescent="0.35">
      <c r="A15" s="4" t="s">
        <v>46</v>
      </c>
      <c r="B15" s="4">
        <v>445</v>
      </c>
      <c r="C15" s="4">
        <v>283</v>
      </c>
      <c r="D15" s="5">
        <f t="shared" si="0"/>
        <v>0.57243816254416957</v>
      </c>
    </row>
    <row r="16" spans="1:4" x14ac:dyDescent="0.35">
      <c r="A16" s="4" t="s">
        <v>47</v>
      </c>
      <c r="B16" s="4">
        <v>422</v>
      </c>
      <c r="C16" s="4">
        <v>299</v>
      </c>
      <c r="D16" s="5">
        <f t="shared" si="0"/>
        <v>0.41137123745819398</v>
      </c>
    </row>
    <row r="17" spans="1:4" x14ac:dyDescent="0.35">
      <c r="A17" s="4" t="s">
        <v>48</v>
      </c>
      <c r="B17" s="4">
        <v>368</v>
      </c>
      <c r="C17" s="4">
        <v>270</v>
      </c>
      <c r="D17" s="5">
        <f t="shared" si="0"/>
        <v>0.36296296296296299</v>
      </c>
    </row>
    <row r="18" spans="1:4" x14ac:dyDescent="0.35">
      <c r="A18" s="4" t="s">
        <v>49</v>
      </c>
      <c r="B18" s="4">
        <v>362</v>
      </c>
      <c r="C18" s="4">
        <v>197</v>
      </c>
      <c r="D18" s="5">
        <f t="shared" si="0"/>
        <v>0.8375634517766497</v>
      </c>
    </row>
    <row r="19" spans="1:4" x14ac:dyDescent="0.35">
      <c r="A19" s="4" t="s">
        <v>50</v>
      </c>
      <c r="B19" s="4">
        <v>341</v>
      </c>
      <c r="C19" s="4">
        <v>191</v>
      </c>
      <c r="D19" s="5">
        <f t="shared" si="0"/>
        <v>0.78534031413612571</v>
      </c>
    </row>
    <row r="20" spans="1:4" x14ac:dyDescent="0.35">
      <c r="A20" s="4" t="s">
        <v>51</v>
      </c>
      <c r="B20" s="4">
        <v>329</v>
      </c>
      <c r="C20" s="4">
        <v>227</v>
      </c>
      <c r="D20" s="5">
        <f t="shared" si="0"/>
        <v>0.44933920704845814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359f705-2ba0-454b-9cfc-6ce5bcaac040}" enabled="1" method="Standard" siteId="{68283f3b-8487-4c86-adb3-a5228f18b89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Journey ANalytics</vt:lpstr>
      <vt:lpstr>Entry Point</vt:lpstr>
      <vt:lpstr>Error Analytics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Lakha, Vodacom</dc:creator>
  <cp:lastModifiedBy>Nikhil Lakha, Vodacom</cp:lastModifiedBy>
  <dcterms:created xsi:type="dcterms:W3CDTF">2026-08-03T11:43:31Z</dcterms:created>
  <dcterms:modified xsi:type="dcterms:W3CDTF">2026-09-02T09:48:48Z</dcterms:modified>
</cp:coreProperties>
</file>