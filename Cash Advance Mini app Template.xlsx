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dafone-my.sharepoint.com/personal/nikhil_lakha_vodacom_co_za/Documents/Documents/Month end reports/Month End Excel Templates/"/>
    </mc:Choice>
  </mc:AlternateContent>
  <xr:revisionPtr revIDLastSave="103" documentId="8_{2B623FF1-7877-4FC0-A379-413162F964EC}" xr6:coauthVersionLast="47" xr6:coauthVersionMax="47" xr10:uidLastSave="{A15B4236-4A70-4CEC-A4AC-5E6251824A90}"/>
  <bookViews>
    <workbookView xWindow="-110" yWindow="-110" windowWidth="19420" windowHeight="10300" activeTab="2" xr2:uid="{DF065B2A-9636-4581-B856-73F942F99F98}"/>
  </bookViews>
  <sheets>
    <sheet name="Overview" sheetId="1" r:id="rId1"/>
    <sheet name="Journey Analytics" sheetId="3" r:id="rId2"/>
    <sheet name="Error Analytic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2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D11" i="3"/>
  <c r="D3" i="3"/>
  <c r="E3" i="3"/>
  <c r="D4" i="3"/>
  <c r="E4" i="3"/>
  <c r="D5" i="3"/>
  <c r="E5" i="3"/>
  <c r="D7" i="3"/>
  <c r="E7" i="3"/>
  <c r="D8" i="3"/>
  <c r="E8" i="3"/>
  <c r="D9" i="3"/>
  <c r="F9" i="3" s="1"/>
  <c r="E9" i="3"/>
  <c r="E11" i="3"/>
  <c r="D12" i="3"/>
  <c r="E12" i="3"/>
  <c r="D14" i="3"/>
  <c r="E14" i="3"/>
  <c r="D15" i="3"/>
  <c r="E15" i="3"/>
  <c r="D16" i="3"/>
  <c r="E16" i="3"/>
  <c r="D17" i="3"/>
  <c r="F17" i="3" s="1"/>
  <c r="E17" i="3"/>
  <c r="D18" i="3"/>
  <c r="E18" i="3"/>
  <c r="E2" i="3"/>
  <c r="D2" i="3"/>
  <c r="F2" i="3" s="1"/>
  <c r="D5" i="1"/>
  <c r="C5" i="1"/>
  <c r="B5" i="1"/>
  <c r="D3" i="1"/>
  <c r="D2" i="1"/>
  <c r="F14" i="3" l="1"/>
  <c r="F8" i="3"/>
  <c r="F15" i="3"/>
  <c r="F4" i="3"/>
  <c r="F12" i="3"/>
  <c r="F3" i="3"/>
  <c r="F7" i="3"/>
  <c r="F18" i="3"/>
  <c r="F16" i="3"/>
  <c r="F11" i="3"/>
  <c r="F5" i="3"/>
</calcChain>
</file>

<file path=xl/sharedStrings.xml><?xml version="1.0" encoding="utf-8"?>
<sst xmlns="http://schemas.openxmlformats.org/spreadsheetml/2006/main" count="38" uniqueCount="38">
  <si>
    <t>Last month</t>
  </si>
  <si>
    <t>2 months ago</t>
  </si>
  <si>
    <t>Period</t>
  </si>
  <si>
    <t>Visits</t>
  </si>
  <si>
    <t>Orders</t>
  </si>
  <si>
    <t>Conversion Rate</t>
  </si>
  <si>
    <t>Change</t>
  </si>
  <si>
    <t>Day</t>
  </si>
  <si>
    <t>Step 1 - Cash Advance - App Launch</t>
  </si>
  <si>
    <t>Step 2 - Cash Advance - Landing Page</t>
  </si>
  <si>
    <t>Step 3 - Cash Advance - Loan Amount</t>
  </si>
  <si>
    <t>Step 4 - Cash Advance - Loan Offer</t>
  </si>
  <si>
    <t>Step 4.1 - Cash Advance - Personal Details</t>
  </si>
  <si>
    <t>Step 5 - Cash Advance - Bank Selection</t>
  </si>
  <si>
    <t>Step 5.1.1 - Cash Advance - Bank Selection - Internet Banking</t>
  </si>
  <si>
    <t>Step 5.1.2 - Cash Advance - Bank Selection - Internet Banking Connecting</t>
  </si>
  <si>
    <t>Step 5.1.3 - Cash Advance - Bank Selection - Internet Banking Select Account</t>
  </si>
  <si>
    <t>Step 5.2.1 - Cash Advance - Bank Selection - Manual Upload</t>
  </si>
  <si>
    <t>Step 5.2.2 - Cash Advance - Manual Upload Analyzing Accounts</t>
  </si>
  <si>
    <t>Step 6 - Cash Advance - Bank Statement Result</t>
  </si>
  <si>
    <t>Step 7 - Cash Advance - Loan Summary</t>
  </si>
  <si>
    <t>Step 8 - Cash Advance - Almost There</t>
  </si>
  <si>
    <t>Step 9 - Cash Advance - Capture Card</t>
  </si>
  <si>
    <t>Step 10 - Cash Advance - Provisional Result</t>
  </si>
  <si>
    <t>Step 11 - Cash Advance - Application Success</t>
  </si>
  <si>
    <t>Steps</t>
  </si>
  <si>
    <t>Last Month</t>
  </si>
  <si>
    <t>2 Months ago</t>
  </si>
  <si>
    <t>Network Error</t>
  </si>
  <si>
    <t>Timeout Error</t>
  </si>
  <si>
    <t>API Error</t>
  </si>
  <si>
    <t>Visits App Launch</t>
  </si>
  <si>
    <t>Visits Add Card</t>
  </si>
  <si>
    <t>Add card Errors</t>
  </si>
  <si>
    <t>Network Error Rate</t>
  </si>
  <si>
    <t>Timeout Error Rate</t>
  </si>
  <si>
    <t>API Error Rate</t>
  </si>
  <si>
    <t>Add Card Error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</si>
</sst>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5E93-95BC-4D29-878F-C65C9F9A4AD0}">
  <dimension ref="A1:D5"/>
  <sheetViews>
    <sheetView workbookViewId="0">
      <selection activeCell="B10" sqref="B10"/>
    </sheetView>
  </sheetViews>
  <sheetFormatPr defaultRowHeight="14.5" x14ac:dyDescent="0.35"/>
  <cols>
    <col min="1" max="4" width="22.7265625" customWidth="1"/>
  </cols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 t="s">
        <v>0</v>
      </c>
      <c r="B2">
        <v>732819</v>
      </c>
      <c r="C2">
        <v>6548</v>
      </c>
      <c r="D2" s="3">
        <f>C2/B2</f>
        <v>8.9353578441606994E-3</v>
      </c>
    </row>
    <row r="3" spans="1:4" x14ac:dyDescent="0.35">
      <c r="A3" t="s">
        <v>1</v>
      </c>
      <c r="B3">
        <v>618358</v>
      </c>
      <c r="C3">
        <v>7191</v>
      </c>
      <c r="D3" s="3">
        <f>C3/B3</f>
        <v>1.1629185682080607E-2</v>
      </c>
    </row>
    <row r="5" spans="1:4" x14ac:dyDescent="0.35">
      <c r="A5" t="s">
        <v>6</v>
      </c>
      <c r="B5" s="2">
        <f>(B2-B3)/B3</f>
        <v>0.18510474514763292</v>
      </c>
      <c r="C5" s="2">
        <f>(C2-C3)/C3</f>
        <v>-8.9417327214573766E-2</v>
      </c>
      <c r="D5" s="3">
        <f>D2-D3</f>
        <v>-2.6938278379199081E-3</v>
      </c>
    </row>
  </sheetData>
  <pageMargins left="0.7" right="0.7" top="0.75" bottom="0.75" header="0.3" footer="0.3"/>
  <headerFooter>
    <oddFooter>&amp;L_x000D_&amp;1#&amp;"Aptos"&amp;7&amp;K000000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FA3C-82E3-473C-8607-CD7CADF40E0C}">
  <dimension ref="A1:F18"/>
  <sheetViews>
    <sheetView workbookViewId="0">
      <selection activeCell="C22" sqref="C22"/>
    </sheetView>
  </sheetViews>
  <sheetFormatPr defaultRowHeight="14.5" x14ac:dyDescent="0.35"/>
  <cols>
    <col min="1" max="1" width="63.1796875" bestFit="1" customWidth="1"/>
    <col min="2" max="2" width="9.7265625" bestFit="1" customWidth="1"/>
    <col min="3" max="3" width="11.453125" bestFit="1" customWidth="1"/>
    <col min="4" max="5" width="8.7265625" style="1"/>
  </cols>
  <sheetData>
    <row r="1" spans="1:6" x14ac:dyDescent="0.35">
      <c r="A1" t="s">
        <v>25</v>
      </c>
      <c r="B1" t="s">
        <v>26</v>
      </c>
      <c r="C1" t="s">
        <v>27</v>
      </c>
    </row>
    <row r="2" spans="1:6" x14ac:dyDescent="0.35">
      <c r="A2" t="s">
        <v>8</v>
      </c>
      <c r="B2">
        <v>732819</v>
      </c>
      <c r="C2">
        <v>618358</v>
      </c>
      <c r="D2" s="1">
        <f>B3/B2</f>
        <v>0.42071370966091215</v>
      </c>
      <c r="E2" s="1">
        <f>C3/C2</f>
        <v>0.54162637177816086</v>
      </c>
      <c r="F2" s="1">
        <f>D2-E2</f>
        <v>-0.12091266211724871</v>
      </c>
    </row>
    <row r="3" spans="1:6" x14ac:dyDescent="0.35">
      <c r="A3" t="s">
        <v>9</v>
      </c>
      <c r="B3">
        <v>308307</v>
      </c>
      <c r="C3">
        <v>334919</v>
      </c>
      <c r="D3" s="1">
        <f t="shared" ref="D3:D9" si="0">B4/B3</f>
        <v>0.14461883771695097</v>
      </c>
      <c r="E3" s="1">
        <f t="shared" ref="E3:E9" si="1">C4/C3</f>
        <v>0.17539166186451052</v>
      </c>
      <c r="F3" s="1">
        <f t="shared" ref="F3:F18" si="2">D3-E3</f>
        <v>-3.0772824147559552E-2</v>
      </c>
    </row>
    <row r="4" spans="1:6" x14ac:dyDescent="0.35">
      <c r="A4" t="s">
        <v>10</v>
      </c>
      <c r="B4">
        <v>44587</v>
      </c>
      <c r="C4">
        <v>58742</v>
      </c>
      <c r="D4" s="1">
        <f t="shared" si="0"/>
        <v>0.83795725211384486</v>
      </c>
      <c r="E4" s="1">
        <f t="shared" si="1"/>
        <v>0.85037962616186036</v>
      </c>
      <c r="F4" s="1">
        <f t="shared" si="2"/>
        <v>-1.2422374048015494E-2</v>
      </c>
    </row>
    <row r="5" spans="1:6" x14ac:dyDescent="0.35">
      <c r="A5" t="s">
        <v>11</v>
      </c>
      <c r="B5">
        <v>37362</v>
      </c>
      <c r="C5">
        <v>49953</v>
      </c>
      <c r="D5" s="1">
        <f t="shared" si="0"/>
        <v>0.42267544563995502</v>
      </c>
      <c r="E5" s="1">
        <f t="shared" si="1"/>
        <v>0.44431765859908312</v>
      </c>
      <c r="F5" s="1">
        <f t="shared" si="2"/>
        <v>-2.1642212959128104E-2</v>
      </c>
    </row>
    <row r="6" spans="1:6" x14ac:dyDescent="0.35">
      <c r="A6" t="s">
        <v>12</v>
      </c>
      <c r="B6">
        <v>15792</v>
      </c>
      <c r="C6">
        <v>22195</v>
      </c>
      <c r="F6" s="1"/>
    </row>
    <row r="7" spans="1:6" x14ac:dyDescent="0.35">
      <c r="A7" t="s">
        <v>13</v>
      </c>
      <c r="B7">
        <v>44592</v>
      </c>
      <c r="C7">
        <v>58756</v>
      </c>
      <c r="D7" s="1">
        <f t="shared" si="0"/>
        <v>0.43285791173304627</v>
      </c>
      <c r="E7" s="1">
        <f t="shared" si="1"/>
        <v>0.44446524610252569</v>
      </c>
      <c r="F7" s="1">
        <f t="shared" si="2"/>
        <v>-1.1607334369479416E-2</v>
      </c>
    </row>
    <row r="8" spans="1:6" x14ac:dyDescent="0.35">
      <c r="A8" t="s">
        <v>14</v>
      </c>
      <c r="B8">
        <v>19302</v>
      </c>
      <c r="C8">
        <v>26115</v>
      </c>
      <c r="D8" s="1">
        <f t="shared" si="0"/>
        <v>0.39156564086623147</v>
      </c>
      <c r="E8" s="1">
        <f t="shared" si="1"/>
        <v>0.49316484778862724</v>
      </c>
      <c r="F8" s="1">
        <f t="shared" si="2"/>
        <v>-0.10159920692239577</v>
      </c>
    </row>
    <row r="9" spans="1:6" x14ac:dyDescent="0.35">
      <c r="A9" t="s">
        <v>15</v>
      </c>
      <c r="B9">
        <v>7558</v>
      </c>
      <c r="C9">
        <v>12879</v>
      </c>
      <c r="D9" s="1">
        <f t="shared" si="0"/>
        <v>0.31436888065625829</v>
      </c>
      <c r="E9" s="1">
        <f t="shared" si="1"/>
        <v>0.21740818386520694</v>
      </c>
      <c r="F9" s="1">
        <f t="shared" si="2"/>
        <v>9.6960696791051348E-2</v>
      </c>
    </row>
    <row r="10" spans="1:6" x14ac:dyDescent="0.35">
      <c r="A10" t="s">
        <v>16</v>
      </c>
      <c r="B10">
        <v>2376</v>
      </c>
      <c r="C10">
        <v>2800</v>
      </c>
      <c r="F10" s="1"/>
    </row>
    <row r="11" spans="1:6" x14ac:dyDescent="0.35">
      <c r="A11" t="s">
        <v>17</v>
      </c>
      <c r="B11">
        <v>15190</v>
      </c>
      <c r="C11">
        <v>20167</v>
      </c>
      <c r="D11" s="1">
        <f>B12/B11</f>
        <v>0.71876234364713631</v>
      </c>
      <c r="E11" s="1">
        <f t="shared" ref="E11:E18" si="3">C12/C11</f>
        <v>0.59671740962959285</v>
      </c>
      <c r="F11" s="1">
        <f t="shared" si="2"/>
        <v>0.12204493401754346</v>
      </c>
    </row>
    <row r="12" spans="1:6" x14ac:dyDescent="0.35">
      <c r="A12" t="s">
        <v>18</v>
      </c>
      <c r="B12">
        <v>10918</v>
      </c>
      <c r="C12">
        <v>12034</v>
      </c>
      <c r="D12" s="1">
        <f t="shared" ref="D12:D18" si="4">B13/B12</f>
        <v>0.70882945594431213</v>
      </c>
      <c r="E12" s="1">
        <f t="shared" si="3"/>
        <v>0.71912913411999335</v>
      </c>
      <c r="F12" s="1">
        <f t="shared" si="2"/>
        <v>-1.0299678175681226E-2</v>
      </c>
    </row>
    <row r="13" spans="1:6" x14ac:dyDescent="0.35">
      <c r="A13" t="s">
        <v>19</v>
      </c>
      <c r="B13">
        <v>7739</v>
      </c>
      <c r="C13">
        <v>8654</v>
      </c>
      <c r="F13" s="1"/>
    </row>
    <row r="14" spans="1:6" x14ac:dyDescent="0.35">
      <c r="A14" t="s">
        <v>20</v>
      </c>
      <c r="B14">
        <v>9317</v>
      </c>
      <c r="C14">
        <v>10399</v>
      </c>
      <c r="D14" s="1">
        <f t="shared" si="4"/>
        <v>0.99044756895996566</v>
      </c>
      <c r="E14" s="1">
        <f t="shared" si="3"/>
        <v>0.99211462640638526</v>
      </c>
      <c r="F14" s="1">
        <f t="shared" si="2"/>
        <v>-1.6670574464195953E-3</v>
      </c>
    </row>
    <row r="15" spans="1:6" x14ac:dyDescent="0.35">
      <c r="A15" t="s">
        <v>21</v>
      </c>
      <c r="B15">
        <v>9228</v>
      </c>
      <c r="C15">
        <v>10317</v>
      </c>
      <c r="D15" s="1">
        <f t="shared" si="4"/>
        <v>0.9952319029042046</v>
      </c>
      <c r="E15" s="1">
        <f t="shared" si="3"/>
        <v>0.99495977512842881</v>
      </c>
      <c r="F15" s="1">
        <f t="shared" si="2"/>
        <v>2.7212777577578784E-4</v>
      </c>
    </row>
    <row r="16" spans="1:6" x14ac:dyDescent="0.35">
      <c r="A16" t="s">
        <v>22</v>
      </c>
      <c r="B16">
        <v>9184</v>
      </c>
      <c r="C16">
        <v>10265</v>
      </c>
      <c r="D16" s="1">
        <f t="shared" si="4"/>
        <v>0.76981707317073167</v>
      </c>
      <c r="E16" s="1">
        <f t="shared" si="3"/>
        <v>0.75499269361909405</v>
      </c>
      <c r="F16" s="1">
        <f t="shared" si="2"/>
        <v>1.4824379551637623E-2</v>
      </c>
    </row>
    <row r="17" spans="1:6" x14ac:dyDescent="0.35">
      <c r="A17" t="s">
        <v>23</v>
      </c>
      <c r="B17">
        <v>7070</v>
      </c>
      <c r="C17">
        <v>7750</v>
      </c>
      <c r="D17" s="1">
        <f t="shared" si="4"/>
        <v>0.95304101838755306</v>
      </c>
      <c r="E17" s="1">
        <f t="shared" si="3"/>
        <v>0.95135483870967741</v>
      </c>
      <c r="F17" s="1">
        <f t="shared" si="2"/>
        <v>1.6861796778756544E-3</v>
      </c>
    </row>
    <row r="18" spans="1:6" x14ac:dyDescent="0.35">
      <c r="A18" t="s">
        <v>24</v>
      </c>
      <c r="B18">
        <v>6738</v>
      </c>
      <c r="C18">
        <v>7373</v>
      </c>
      <c r="D18" s="1">
        <f t="shared" si="4"/>
        <v>0</v>
      </c>
      <c r="E18" s="1">
        <f t="shared" si="3"/>
        <v>0</v>
      </c>
      <c r="F18" s="1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DF27-018F-4483-9FCB-A875719A659E}">
  <dimension ref="A1:K32"/>
  <sheetViews>
    <sheetView tabSelected="1" workbookViewId="0">
      <selection activeCell="K2" sqref="K2:K32"/>
    </sheetView>
  </sheetViews>
  <sheetFormatPr defaultRowHeight="14.5" x14ac:dyDescent="0.35"/>
  <cols>
    <col min="1" max="1" width="10.08984375" bestFit="1" customWidth="1"/>
    <col min="2" max="2" width="15.08984375" bestFit="1" customWidth="1"/>
    <col min="3" max="3" width="11.81640625" bestFit="1" customWidth="1"/>
    <col min="4" max="4" width="11.6328125" bestFit="1" customWidth="1"/>
    <col min="5" max="5" width="7.7265625" bestFit="1" customWidth="1"/>
    <col min="6" max="6" width="16" bestFit="1" customWidth="1"/>
    <col min="7" max="7" width="15.81640625" bestFit="1" customWidth="1"/>
    <col min="8" max="8" width="11.81640625" bestFit="1" customWidth="1"/>
    <col min="9" max="9" width="13.08984375" bestFit="1" customWidth="1"/>
    <col min="10" max="10" width="13.1796875" bestFit="1" customWidth="1"/>
    <col min="11" max="11" width="16.6328125" bestFit="1" customWidth="1"/>
  </cols>
  <sheetData>
    <row r="1" spans="1:11" x14ac:dyDescent="0.35">
      <c r="A1" t="s">
        <v>7</v>
      </c>
      <c r="B1" t="s">
        <v>31</v>
      </c>
      <c r="C1" t="s">
        <v>28</v>
      </c>
      <c r="D1" t="s">
        <v>29</v>
      </c>
      <c r="E1" t="s">
        <v>30</v>
      </c>
      <c r="F1" t="s">
        <v>34</v>
      </c>
      <c r="G1" t="s">
        <v>35</v>
      </c>
      <c r="H1" t="s">
        <v>36</v>
      </c>
      <c r="I1" t="s">
        <v>32</v>
      </c>
      <c r="J1" t="s">
        <v>33</v>
      </c>
      <c r="K1" t="s">
        <v>37</v>
      </c>
    </row>
    <row r="2" spans="1:11" x14ac:dyDescent="0.35">
      <c r="A2" s="4">
        <v>46235</v>
      </c>
      <c r="B2">
        <v>22796</v>
      </c>
      <c r="C2">
        <v>5849</v>
      </c>
      <c r="D2">
        <v>166</v>
      </c>
      <c r="E2">
        <v>101</v>
      </c>
      <c r="F2" s="1">
        <f>C2/B2</f>
        <v>0.25658010177224072</v>
      </c>
      <c r="G2" s="1">
        <f>D2/B2</f>
        <v>7.2819792946130901E-3</v>
      </c>
      <c r="H2" s="1">
        <f>E2/B2</f>
        <v>4.4306018599754339E-3</v>
      </c>
      <c r="I2">
        <v>376</v>
      </c>
      <c r="J2">
        <v>74</v>
      </c>
      <c r="K2" s="1">
        <f>J2/I2</f>
        <v>0.19680851063829788</v>
      </c>
    </row>
    <row r="3" spans="1:11" x14ac:dyDescent="0.35">
      <c r="A3" s="4">
        <v>46236</v>
      </c>
      <c r="B3">
        <v>20327</v>
      </c>
      <c r="C3">
        <v>5408</v>
      </c>
      <c r="D3">
        <v>199</v>
      </c>
      <c r="E3">
        <v>65</v>
      </c>
      <c r="F3" s="1">
        <f t="shared" ref="F3:F32" si="0">C3/B3</f>
        <v>0.2660500811728243</v>
      </c>
      <c r="G3" s="1">
        <f t="shared" ref="G3:G32" si="1">D3/B3</f>
        <v>9.7899345697840309E-3</v>
      </c>
      <c r="H3" s="1">
        <f t="shared" ref="H3:H32" si="2">E3/B3</f>
        <v>3.1977173217887537E-3</v>
      </c>
      <c r="I3">
        <v>287</v>
      </c>
      <c r="J3">
        <v>58</v>
      </c>
      <c r="K3" s="1">
        <f t="shared" ref="K3:K32" si="3">J3/I3</f>
        <v>0.20209059233449478</v>
      </c>
    </row>
    <row r="4" spans="1:11" x14ac:dyDescent="0.35">
      <c r="A4" s="4">
        <v>46237</v>
      </c>
      <c r="B4">
        <v>23133</v>
      </c>
      <c r="C4">
        <v>5713</v>
      </c>
      <c r="D4">
        <v>209</v>
      </c>
      <c r="E4">
        <v>95</v>
      </c>
      <c r="F4" s="1">
        <f t="shared" si="0"/>
        <v>0.24696321272640817</v>
      </c>
      <c r="G4" s="1">
        <f t="shared" si="1"/>
        <v>9.0347123157394193E-3</v>
      </c>
      <c r="H4" s="1">
        <f t="shared" si="2"/>
        <v>4.1066874162451906E-3</v>
      </c>
      <c r="I4">
        <v>374</v>
      </c>
      <c r="J4">
        <v>65</v>
      </c>
      <c r="K4" s="1">
        <f t="shared" si="3"/>
        <v>0.17379679144385027</v>
      </c>
    </row>
    <row r="5" spans="1:11" x14ac:dyDescent="0.35">
      <c r="A5" s="4">
        <v>46238</v>
      </c>
      <c r="B5">
        <v>24150</v>
      </c>
      <c r="C5">
        <v>5836</v>
      </c>
      <c r="D5">
        <v>216</v>
      </c>
      <c r="E5">
        <v>117</v>
      </c>
      <c r="F5" s="1">
        <f t="shared" si="0"/>
        <v>0.24165631469979296</v>
      </c>
      <c r="G5" s="1">
        <f t="shared" si="1"/>
        <v>8.944099378881987E-3</v>
      </c>
      <c r="H5" s="1">
        <f t="shared" si="2"/>
        <v>4.8447204968944096E-3</v>
      </c>
      <c r="I5">
        <v>346</v>
      </c>
      <c r="J5">
        <v>88</v>
      </c>
      <c r="K5" s="1">
        <f t="shared" si="3"/>
        <v>0.25433526011560692</v>
      </c>
    </row>
    <row r="6" spans="1:11" x14ac:dyDescent="0.35">
      <c r="A6" s="4">
        <v>46239</v>
      </c>
      <c r="B6">
        <v>23302</v>
      </c>
      <c r="C6">
        <v>5886</v>
      </c>
      <c r="D6">
        <v>191</v>
      </c>
      <c r="E6">
        <v>130</v>
      </c>
      <c r="F6" s="1">
        <f t="shared" si="0"/>
        <v>0.25259634366148831</v>
      </c>
      <c r="G6" s="1">
        <f t="shared" si="1"/>
        <v>8.1967213114754103E-3</v>
      </c>
      <c r="H6" s="1">
        <f t="shared" si="2"/>
        <v>5.5789202643549913E-3</v>
      </c>
      <c r="I6">
        <v>294</v>
      </c>
      <c r="J6">
        <v>65</v>
      </c>
      <c r="K6" s="1">
        <f t="shared" si="3"/>
        <v>0.22108843537414966</v>
      </c>
    </row>
    <row r="7" spans="1:11" x14ac:dyDescent="0.35">
      <c r="A7" s="4">
        <v>46240</v>
      </c>
      <c r="B7">
        <v>25054</v>
      </c>
      <c r="C7">
        <v>5342</v>
      </c>
      <c r="D7">
        <v>204</v>
      </c>
      <c r="E7">
        <v>118</v>
      </c>
      <c r="F7" s="1">
        <f t="shared" si="0"/>
        <v>0.21321944599664724</v>
      </c>
      <c r="G7" s="1">
        <f t="shared" si="1"/>
        <v>8.1424123892392432E-3</v>
      </c>
      <c r="H7" s="1">
        <f t="shared" si="2"/>
        <v>4.7098267741677979E-3</v>
      </c>
      <c r="I7">
        <v>302</v>
      </c>
      <c r="J7">
        <v>68</v>
      </c>
      <c r="K7" s="1">
        <f t="shared" si="3"/>
        <v>0.2251655629139073</v>
      </c>
    </row>
    <row r="8" spans="1:11" x14ac:dyDescent="0.35">
      <c r="A8" s="4">
        <v>46241</v>
      </c>
      <c r="B8">
        <v>21807</v>
      </c>
      <c r="C8">
        <v>5022</v>
      </c>
      <c r="D8">
        <v>180</v>
      </c>
      <c r="E8">
        <v>82</v>
      </c>
      <c r="F8" s="1">
        <f t="shared" si="0"/>
        <v>0.2302930251754024</v>
      </c>
      <c r="G8" s="1">
        <f t="shared" si="1"/>
        <v>8.2542302930251749E-3</v>
      </c>
      <c r="H8" s="1">
        <f t="shared" si="2"/>
        <v>3.7602604668225798E-3</v>
      </c>
      <c r="I8">
        <v>251</v>
      </c>
      <c r="J8">
        <v>51</v>
      </c>
      <c r="K8" s="1">
        <f t="shared" si="3"/>
        <v>0.20318725099601595</v>
      </c>
    </row>
    <row r="9" spans="1:11" x14ac:dyDescent="0.35">
      <c r="A9" s="4">
        <v>46242</v>
      </c>
      <c r="B9">
        <v>19423</v>
      </c>
      <c r="C9">
        <v>4712</v>
      </c>
      <c r="D9">
        <v>187</v>
      </c>
      <c r="E9">
        <v>72</v>
      </c>
      <c r="F9" s="1">
        <f t="shared" si="0"/>
        <v>0.24259898059002213</v>
      </c>
      <c r="G9" s="1">
        <f t="shared" si="1"/>
        <v>9.6277609020233735E-3</v>
      </c>
      <c r="H9" s="1">
        <f t="shared" si="2"/>
        <v>3.7069453740410851E-3</v>
      </c>
      <c r="I9">
        <v>317</v>
      </c>
      <c r="J9">
        <v>89</v>
      </c>
      <c r="K9" s="1">
        <f t="shared" si="3"/>
        <v>0.28075709779179808</v>
      </c>
    </row>
    <row r="10" spans="1:11" x14ac:dyDescent="0.35">
      <c r="A10" s="4">
        <v>46243</v>
      </c>
      <c r="B10">
        <v>19349</v>
      </c>
      <c r="C10">
        <v>4937</v>
      </c>
      <c r="D10">
        <v>213</v>
      </c>
      <c r="E10">
        <v>38</v>
      </c>
      <c r="F10" s="1">
        <f t="shared" si="0"/>
        <v>0.25515530518373042</v>
      </c>
      <c r="G10" s="1">
        <f t="shared" si="1"/>
        <v>1.1008320843454442E-2</v>
      </c>
      <c r="H10" s="1">
        <f t="shared" si="2"/>
        <v>1.9639257842782574E-3</v>
      </c>
      <c r="I10">
        <v>252</v>
      </c>
      <c r="J10">
        <v>49</v>
      </c>
      <c r="K10" s="1">
        <f t="shared" si="3"/>
        <v>0.19444444444444445</v>
      </c>
    </row>
    <row r="11" spans="1:11" x14ac:dyDescent="0.35">
      <c r="A11" s="4">
        <v>46244</v>
      </c>
      <c r="B11">
        <v>22206</v>
      </c>
      <c r="C11">
        <v>5789</v>
      </c>
      <c r="D11">
        <v>241</v>
      </c>
      <c r="E11">
        <v>42</v>
      </c>
      <c r="F11" s="1">
        <f t="shared" si="0"/>
        <v>0.26069530757452941</v>
      </c>
      <c r="G11" s="1">
        <f t="shared" si="1"/>
        <v>1.0852922633522472E-2</v>
      </c>
      <c r="H11" s="1">
        <f t="shared" si="2"/>
        <v>1.8913807079167792E-3</v>
      </c>
      <c r="I11">
        <v>295</v>
      </c>
      <c r="J11">
        <v>46</v>
      </c>
      <c r="K11" s="1">
        <f t="shared" si="3"/>
        <v>0.15593220338983052</v>
      </c>
    </row>
    <row r="12" spans="1:11" x14ac:dyDescent="0.35">
      <c r="A12" s="4">
        <v>46245</v>
      </c>
      <c r="B12">
        <v>27370</v>
      </c>
      <c r="C12">
        <v>7548</v>
      </c>
      <c r="D12">
        <v>319</v>
      </c>
      <c r="E12">
        <v>68</v>
      </c>
      <c r="F12" s="1">
        <f t="shared" si="0"/>
        <v>0.27577639751552796</v>
      </c>
      <c r="G12" s="1">
        <f t="shared" si="1"/>
        <v>1.1655096821337231E-2</v>
      </c>
      <c r="H12" s="1">
        <f t="shared" si="2"/>
        <v>2.4844720496894411E-3</v>
      </c>
      <c r="I12">
        <v>294</v>
      </c>
      <c r="J12">
        <v>60</v>
      </c>
      <c r="K12" s="1">
        <f t="shared" si="3"/>
        <v>0.20408163265306123</v>
      </c>
    </row>
    <row r="13" spans="1:11" x14ac:dyDescent="0.35">
      <c r="A13" s="4">
        <v>46246</v>
      </c>
      <c r="B13">
        <v>27108</v>
      </c>
      <c r="C13">
        <v>7555</v>
      </c>
      <c r="D13">
        <v>336</v>
      </c>
      <c r="E13">
        <v>111</v>
      </c>
      <c r="F13" s="1">
        <f t="shared" si="0"/>
        <v>0.27870001475579165</v>
      </c>
      <c r="G13" s="1">
        <f t="shared" si="1"/>
        <v>1.2394864984506419E-2</v>
      </c>
      <c r="H13" s="1">
        <f t="shared" si="2"/>
        <v>4.0947321823815849E-3</v>
      </c>
      <c r="I13">
        <v>311</v>
      </c>
      <c r="J13">
        <v>73</v>
      </c>
      <c r="K13" s="1">
        <f t="shared" si="3"/>
        <v>0.2347266881028939</v>
      </c>
    </row>
    <row r="14" spans="1:11" x14ac:dyDescent="0.35">
      <c r="A14" s="4">
        <v>46247</v>
      </c>
      <c r="B14">
        <v>24494</v>
      </c>
      <c r="C14">
        <v>6864</v>
      </c>
      <c r="D14">
        <v>290</v>
      </c>
      <c r="E14">
        <v>59</v>
      </c>
      <c r="F14" s="1">
        <f t="shared" si="0"/>
        <v>0.28023189352494488</v>
      </c>
      <c r="G14" s="1">
        <f t="shared" si="1"/>
        <v>1.1839634196129665E-2</v>
      </c>
      <c r="H14" s="1">
        <f t="shared" si="2"/>
        <v>2.408753164040173E-3</v>
      </c>
      <c r="I14">
        <v>314</v>
      </c>
      <c r="J14">
        <v>58</v>
      </c>
      <c r="K14" s="1">
        <f t="shared" si="3"/>
        <v>0.18471337579617833</v>
      </c>
    </row>
    <row r="15" spans="1:11" x14ac:dyDescent="0.35">
      <c r="A15" s="4">
        <v>46248</v>
      </c>
      <c r="B15">
        <v>25018</v>
      </c>
      <c r="C15">
        <v>6589</v>
      </c>
      <c r="D15">
        <v>272</v>
      </c>
      <c r="E15">
        <v>113</v>
      </c>
      <c r="F15" s="1">
        <f t="shared" si="0"/>
        <v>0.26337037333120156</v>
      </c>
      <c r="G15" s="1">
        <f t="shared" si="1"/>
        <v>1.0872172036133984E-2</v>
      </c>
      <c r="H15" s="1">
        <f t="shared" si="2"/>
        <v>4.5167479414821325E-3</v>
      </c>
      <c r="I15">
        <v>288</v>
      </c>
      <c r="J15">
        <v>61</v>
      </c>
      <c r="K15" s="1">
        <f t="shared" si="3"/>
        <v>0.21180555555555555</v>
      </c>
    </row>
    <row r="16" spans="1:11" x14ac:dyDescent="0.35">
      <c r="A16" s="4">
        <v>46249</v>
      </c>
      <c r="B16">
        <v>23253</v>
      </c>
      <c r="C16">
        <v>6328</v>
      </c>
      <c r="D16">
        <v>231</v>
      </c>
      <c r="E16">
        <v>85</v>
      </c>
      <c r="F16" s="1">
        <f t="shared" si="0"/>
        <v>0.27213692856835675</v>
      </c>
      <c r="G16" s="1">
        <f t="shared" si="1"/>
        <v>9.9342020384466517E-3</v>
      </c>
      <c r="H16" s="1">
        <f t="shared" si="2"/>
        <v>3.6554423085193308E-3</v>
      </c>
      <c r="I16">
        <v>274</v>
      </c>
      <c r="J16">
        <v>77</v>
      </c>
      <c r="K16" s="1">
        <f t="shared" si="3"/>
        <v>0.28102189781021897</v>
      </c>
    </row>
    <row r="17" spans="1:11" x14ac:dyDescent="0.35">
      <c r="A17" s="4">
        <v>46250</v>
      </c>
      <c r="B17">
        <v>22388</v>
      </c>
      <c r="C17">
        <v>6068</v>
      </c>
      <c r="D17">
        <v>255</v>
      </c>
      <c r="E17">
        <v>59</v>
      </c>
      <c r="F17" s="1">
        <f t="shared" si="0"/>
        <v>0.27103805610148296</v>
      </c>
      <c r="G17" s="1">
        <f t="shared" si="1"/>
        <v>1.139003037341433E-2</v>
      </c>
      <c r="H17" s="1">
        <f t="shared" si="2"/>
        <v>2.6353403609076292E-3</v>
      </c>
      <c r="I17">
        <v>287</v>
      </c>
      <c r="J17">
        <v>67</v>
      </c>
      <c r="K17" s="1">
        <f t="shared" si="3"/>
        <v>0.23344947735191637</v>
      </c>
    </row>
    <row r="18" spans="1:11" x14ac:dyDescent="0.35">
      <c r="A18" s="4">
        <v>46251</v>
      </c>
      <c r="B18">
        <v>24214</v>
      </c>
      <c r="C18">
        <v>6326</v>
      </c>
      <c r="D18">
        <v>351</v>
      </c>
      <c r="E18">
        <v>150</v>
      </c>
      <c r="F18" s="1">
        <f t="shared" si="0"/>
        <v>0.261253820104072</v>
      </c>
      <c r="G18" s="1">
        <f t="shared" si="1"/>
        <v>1.4495746262492773E-2</v>
      </c>
      <c r="H18" s="1">
        <f t="shared" si="2"/>
        <v>6.1947633600396464E-3</v>
      </c>
      <c r="I18">
        <v>309</v>
      </c>
      <c r="J18">
        <v>55</v>
      </c>
      <c r="K18" s="1">
        <f t="shared" si="3"/>
        <v>0.17799352750809061</v>
      </c>
    </row>
    <row r="19" spans="1:11" x14ac:dyDescent="0.35">
      <c r="A19" s="4">
        <v>46252</v>
      </c>
      <c r="B19">
        <v>26889</v>
      </c>
      <c r="C19">
        <v>7277</v>
      </c>
      <c r="D19">
        <v>333</v>
      </c>
      <c r="E19">
        <v>51</v>
      </c>
      <c r="F19" s="1">
        <f t="shared" si="0"/>
        <v>0.27063111309457399</v>
      </c>
      <c r="G19" s="1">
        <f t="shared" si="1"/>
        <v>1.238424634608948E-2</v>
      </c>
      <c r="H19" s="1">
        <f t="shared" si="2"/>
        <v>1.8966863773290192E-3</v>
      </c>
      <c r="I19">
        <v>304</v>
      </c>
      <c r="J19">
        <v>55</v>
      </c>
      <c r="K19" s="1">
        <f t="shared" si="3"/>
        <v>0.18092105263157895</v>
      </c>
    </row>
    <row r="20" spans="1:11" x14ac:dyDescent="0.35">
      <c r="A20" s="4">
        <v>46253</v>
      </c>
      <c r="B20">
        <v>30449</v>
      </c>
      <c r="C20">
        <v>7601</v>
      </c>
      <c r="D20">
        <v>370</v>
      </c>
      <c r="E20">
        <v>82</v>
      </c>
      <c r="F20" s="1">
        <f t="shared" si="0"/>
        <v>0.24963052973825084</v>
      </c>
      <c r="G20" s="1">
        <f t="shared" si="1"/>
        <v>1.2151466386416631E-2</v>
      </c>
      <c r="H20" s="1">
        <f t="shared" si="2"/>
        <v>2.6930276856382803E-3</v>
      </c>
      <c r="I20">
        <v>350</v>
      </c>
      <c r="J20">
        <v>72</v>
      </c>
      <c r="K20" s="1">
        <f t="shared" si="3"/>
        <v>0.20571428571428571</v>
      </c>
    </row>
    <row r="21" spans="1:11" x14ac:dyDescent="0.35">
      <c r="A21" s="4">
        <v>46254</v>
      </c>
      <c r="B21">
        <v>27436</v>
      </c>
      <c r="C21">
        <v>7613</v>
      </c>
      <c r="D21">
        <v>384</v>
      </c>
      <c r="E21">
        <v>152</v>
      </c>
      <c r="F21" s="1">
        <f t="shared" si="0"/>
        <v>0.27748214025368129</v>
      </c>
      <c r="G21" s="1">
        <f t="shared" si="1"/>
        <v>1.399620935996501E-2</v>
      </c>
      <c r="H21" s="1">
        <f t="shared" si="2"/>
        <v>5.5401662049861496E-3</v>
      </c>
      <c r="I21">
        <v>331</v>
      </c>
      <c r="J21">
        <v>79</v>
      </c>
      <c r="K21" s="1">
        <f t="shared" si="3"/>
        <v>0.23867069486404835</v>
      </c>
    </row>
    <row r="22" spans="1:11" x14ac:dyDescent="0.35">
      <c r="A22" s="4">
        <v>46255</v>
      </c>
      <c r="B22">
        <v>26666</v>
      </c>
      <c r="C22">
        <v>7237</v>
      </c>
      <c r="D22">
        <v>327</v>
      </c>
      <c r="E22">
        <v>130</v>
      </c>
      <c r="F22" s="1">
        <f t="shared" si="0"/>
        <v>0.27139428485712142</v>
      </c>
      <c r="G22" s="1">
        <f t="shared" si="1"/>
        <v>1.2262806570164254E-2</v>
      </c>
      <c r="H22" s="1">
        <f t="shared" si="2"/>
        <v>4.8751218780469507E-3</v>
      </c>
      <c r="I22">
        <v>287</v>
      </c>
      <c r="J22">
        <v>64</v>
      </c>
      <c r="K22" s="1">
        <f t="shared" si="3"/>
        <v>0.22299651567944251</v>
      </c>
    </row>
    <row r="23" spans="1:11" x14ac:dyDescent="0.35">
      <c r="A23" s="4">
        <v>46256</v>
      </c>
      <c r="B23">
        <v>25130</v>
      </c>
      <c r="C23">
        <v>6862</v>
      </c>
      <c r="D23">
        <v>311</v>
      </c>
      <c r="E23">
        <v>268</v>
      </c>
      <c r="F23" s="1">
        <f t="shared" si="0"/>
        <v>0.27306008754476724</v>
      </c>
      <c r="G23" s="1">
        <f t="shared" si="1"/>
        <v>1.2375646637485077E-2</v>
      </c>
      <c r="H23" s="1">
        <f t="shared" si="2"/>
        <v>1.0664544369279745E-2</v>
      </c>
      <c r="I23">
        <v>287</v>
      </c>
      <c r="J23">
        <v>68</v>
      </c>
      <c r="K23" s="1">
        <f t="shared" si="3"/>
        <v>0.23693379790940766</v>
      </c>
    </row>
    <row r="24" spans="1:11" x14ac:dyDescent="0.35">
      <c r="A24" s="4">
        <v>46257</v>
      </c>
      <c r="B24">
        <v>23269</v>
      </c>
      <c r="C24">
        <v>6481</v>
      </c>
      <c r="D24">
        <v>331</v>
      </c>
      <c r="E24">
        <v>106</v>
      </c>
      <c r="F24" s="1">
        <f t="shared" si="0"/>
        <v>0.27852507628174827</v>
      </c>
      <c r="G24" s="1">
        <f t="shared" si="1"/>
        <v>1.4224934462159956E-2</v>
      </c>
      <c r="H24" s="1">
        <f t="shared" si="2"/>
        <v>4.5554170785164815E-3</v>
      </c>
      <c r="I24">
        <v>254</v>
      </c>
      <c r="J24">
        <v>51</v>
      </c>
      <c r="K24" s="1">
        <f t="shared" si="3"/>
        <v>0.20078740157480315</v>
      </c>
    </row>
    <row r="25" spans="1:11" x14ac:dyDescent="0.35">
      <c r="A25" s="4">
        <v>46258</v>
      </c>
      <c r="B25">
        <v>25602</v>
      </c>
      <c r="C25">
        <v>6557</v>
      </c>
      <c r="D25">
        <v>301</v>
      </c>
      <c r="E25">
        <v>128</v>
      </c>
      <c r="F25" s="1">
        <f t="shared" si="0"/>
        <v>0.25611280368721195</v>
      </c>
      <c r="G25" s="1">
        <f t="shared" si="1"/>
        <v>1.1756893992656824E-2</v>
      </c>
      <c r="H25" s="1">
        <f t="shared" si="2"/>
        <v>4.9996094055151938E-3</v>
      </c>
      <c r="I25">
        <v>236</v>
      </c>
      <c r="J25">
        <v>53</v>
      </c>
      <c r="K25" s="1">
        <f t="shared" si="3"/>
        <v>0.22457627118644069</v>
      </c>
    </row>
    <row r="26" spans="1:11" x14ac:dyDescent="0.35">
      <c r="A26" s="4">
        <v>46259</v>
      </c>
      <c r="B26">
        <v>25269</v>
      </c>
      <c r="C26">
        <v>6505</v>
      </c>
      <c r="D26">
        <v>298</v>
      </c>
      <c r="E26">
        <v>170</v>
      </c>
      <c r="F26" s="1">
        <f t="shared" si="0"/>
        <v>0.25743005263366181</v>
      </c>
      <c r="G26" s="1">
        <f t="shared" si="1"/>
        <v>1.179310617752978E-2</v>
      </c>
      <c r="H26" s="1">
        <f t="shared" si="2"/>
        <v>6.7276109066445053E-3</v>
      </c>
      <c r="I26">
        <v>294</v>
      </c>
      <c r="J26">
        <v>82</v>
      </c>
      <c r="K26" s="1">
        <f t="shared" si="3"/>
        <v>0.27891156462585032</v>
      </c>
    </row>
    <row r="27" spans="1:11" x14ac:dyDescent="0.35">
      <c r="A27" s="4">
        <v>46260</v>
      </c>
      <c r="B27">
        <v>22271</v>
      </c>
      <c r="C27">
        <v>5222</v>
      </c>
      <c r="D27">
        <v>228</v>
      </c>
      <c r="E27">
        <v>198</v>
      </c>
      <c r="F27" s="1">
        <f t="shared" si="0"/>
        <v>0.23447532665798573</v>
      </c>
      <c r="G27" s="1">
        <f t="shared" si="1"/>
        <v>1.0237528624668852E-2</v>
      </c>
      <c r="H27" s="1">
        <f t="shared" si="2"/>
        <v>8.8904853845808447E-3</v>
      </c>
      <c r="I27">
        <v>287</v>
      </c>
      <c r="J27">
        <v>65</v>
      </c>
      <c r="K27" s="1">
        <f t="shared" si="3"/>
        <v>0.2264808362369338</v>
      </c>
    </row>
    <row r="28" spans="1:11" x14ac:dyDescent="0.35">
      <c r="A28" s="4">
        <v>46261</v>
      </c>
      <c r="B28">
        <v>22738</v>
      </c>
      <c r="C28">
        <v>5642</v>
      </c>
      <c r="D28">
        <v>217</v>
      </c>
      <c r="E28">
        <v>209</v>
      </c>
      <c r="F28" s="1">
        <f t="shared" si="0"/>
        <v>0.24813088222359048</v>
      </c>
      <c r="G28" s="1">
        <f t="shared" si="1"/>
        <v>9.5434954701380942E-3</v>
      </c>
      <c r="H28" s="1">
        <f t="shared" si="2"/>
        <v>9.1916615357551228E-3</v>
      </c>
      <c r="I28">
        <v>276</v>
      </c>
      <c r="J28">
        <v>48</v>
      </c>
      <c r="K28" s="1">
        <f t="shared" si="3"/>
        <v>0.17391304347826086</v>
      </c>
    </row>
    <row r="29" spans="1:11" x14ac:dyDescent="0.35">
      <c r="A29" s="4">
        <v>46262</v>
      </c>
      <c r="B29">
        <v>21292</v>
      </c>
      <c r="C29">
        <v>5255</v>
      </c>
      <c r="D29">
        <v>215</v>
      </c>
      <c r="E29">
        <v>201</v>
      </c>
      <c r="F29" s="1">
        <f t="shared" si="0"/>
        <v>0.24680631222994551</v>
      </c>
      <c r="G29" s="1">
        <f t="shared" si="1"/>
        <v>1.0097689272966372E-2</v>
      </c>
      <c r="H29" s="1">
        <f t="shared" si="2"/>
        <v>9.4401653203080964E-3</v>
      </c>
      <c r="I29">
        <v>324</v>
      </c>
      <c r="J29">
        <v>76</v>
      </c>
      <c r="K29" s="1">
        <f t="shared" si="3"/>
        <v>0.23456790123456789</v>
      </c>
    </row>
    <row r="30" spans="1:11" x14ac:dyDescent="0.35">
      <c r="A30" s="4">
        <v>46263</v>
      </c>
      <c r="B30">
        <v>19714</v>
      </c>
      <c r="C30">
        <v>4987</v>
      </c>
      <c r="D30">
        <v>191</v>
      </c>
      <c r="E30">
        <v>132</v>
      </c>
      <c r="F30" s="1">
        <f t="shared" si="0"/>
        <v>0.25296743431064217</v>
      </c>
      <c r="G30" s="1">
        <f t="shared" si="1"/>
        <v>9.6885462108146497E-3</v>
      </c>
      <c r="H30" s="1">
        <f t="shared" si="2"/>
        <v>6.6957492137567215E-3</v>
      </c>
      <c r="I30">
        <v>291</v>
      </c>
      <c r="J30">
        <v>67</v>
      </c>
      <c r="K30" s="1">
        <f t="shared" si="3"/>
        <v>0.23024054982817868</v>
      </c>
    </row>
    <row r="31" spans="1:11" x14ac:dyDescent="0.35">
      <c r="A31" s="4">
        <v>46264</v>
      </c>
      <c r="B31">
        <v>18852</v>
      </c>
      <c r="C31">
        <v>4928</v>
      </c>
      <c r="D31">
        <v>215</v>
      </c>
      <c r="E31">
        <v>87</v>
      </c>
      <c r="F31" s="1">
        <f t="shared" si="0"/>
        <v>0.26140462550392529</v>
      </c>
      <c r="G31" s="1">
        <f t="shared" si="1"/>
        <v>1.1404625503925313E-2</v>
      </c>
      <c r="H31" s="1">
        <f t="shared" si="2"/>
        <v>4.6148949713558244E-3</v>
      </c>
      <c r="I31">
        <v>231</v>
      </c>
      <c r="J31">
        <v>50</v>
      </c>
      <c r="K31" s="1">
        <f t="shared" si="3"/>
        <v>0.21645021645021645</v>
      </c>
    </row>
    <row r="32" spans="1:11" x14ac:dyDescent="0.35">
      <c r="A32" s="4">
        <v>46265</v>
      </c>
      <c r="B32">
        <v>22294</v>
      </c>
      <c r="C32">
        <v>5180</v>
      </c>
      <c r="D32">
        <v>223</v>
      </c>
      <c r="E32">
        <v>252</v>
      </c>
      <c r="F32" s="1">
        <f t="shared" si="0"/>
        <v>0.23234951107921414</v>
      </c>
      <c r="G32" s="1">
        <f t="shared" si="1"/>
        <v>1.0002691307078138E-2</v>
      </c>
      <c r="H32" s="1">
        <f t="shared" si="2"/>
        <v>1.1303489728177985E-2</v>
      </c>
      <c r="I32">
        <v>268</v>
      </c>
      <c r="J32">
        <v>66</v>
      </c>
      <c r="K32" s="1">
        <f t="shared" si="3"/>
        <v>0.2462686567164179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Journey Analytics</vt:lpstr>
      <vt:lpstr>Error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Lakha, Vodacom</dc:creator>
  <cp:lastModifiedBy>Nikhil Lakha, Vodacom</cp:lastModifiedBy>
  <dcterms:created xsi:type="dcterms:W3CDTF">2026-08-03T15:26:52Z</dcterms:created>
  <dcterms:modified xsi:type="dcterms:W3CDTF">2026-09-02T15:30:23Z</dcterms:modified>
</cp:coreProperties>
</file>