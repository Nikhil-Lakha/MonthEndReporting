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nikhil_lakha_vodacom_co_za/Documents/Documents/Month end reports/Month End Excel Templates/"/>
    </mc:Choice>
  </mc:AlternateContent>
  <xr:revisionPtr revIDLastSave="445" documentId="8_{D184D59B-BD6D-4165-9C33-FA428740CF17}" xr6:coauthVersionLast="47" xr6:coauthVersionMax="47" xr10:uidLastSave="{F12A95E7-3C5F-4425-8BD4-6E02F2FC8570}"/>
  <bookViews>
    <workbookView xWindow="-19310" yWindow="-110" windowWidth="19420" windowHeight="10300" firstSheet="6" activeTab="6" xr2:uid="{D2700157-EEE7-4249-B100-62561599C597}"/>
  </bookViews>
  <sheets>
    <sheet name="Overview" sheetId="1" r:id="rId1"/>
    <sheet name="Journey Analytics" sheetId="2" r:id="rId2"/>
    <sheet name="Products" sheetId="3" r:id="rId3"/>
    <sheet name="Adjust" sheetId="5" r:id="rId4"/>
    <sheet name="Error Analytics" sheetId="6" r:id="rId5"/>
    <sheet name="Vodapay Club Overview" sheetId="7" r:id="rId6"/>
    <sheet name="Club Journey" sheetId="8" r:id="rId7"/>
  </sheets>
  <definedNames>
    <definedName name="_xlnm._FilterDatabase" localSheetId="3" hidden="1">Adjust!$A$1:$H$16</definedName>
    <definedName name="_xlnm._FilterDatabase" localSheetId="4" hidden="1">'Error Analytics'!$A$1:$C$41</definedName>
    <definedName name="_xlnm._FilterDatabase" localSheetId="2" hidden="1">Products!$A$2:$M$290</definedName>
    <definedName name="ARB_DB.179086322078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8" l="1"/>
  <c r="G2" i="8"/>
  <c r="G5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" i="6"/>
  <c r="D5" i="1"/>
  <c r="C7" i="8"/>
  <c r="B7" i="8"/>
  <c r="B9" i="8" s="1"/>
  <c r="G3" i="8"/>
  <c r="G4" i="8"/>
  <c r="F2" i="8"/>
  <c r="D3" i="8"/>
  <c r="E3" i="8"/>
  <c r="D4" i="8"/>
  <c r="E4" i="8"/>
  <c r="D5" i="8"/>
  <c r="E5" i="8"/>
  <c r="E2" i="8"/>
  <c r="D10" i="2"/>
  <c r="F10" i="2" s="1"/>
  <c r="E10" i="2"/>
  <c r="D11" i="2"/>
  <c r="F11" i="2" s="1"/>
  <c r="E11" i="2"/>
  <c r="E9" i="2"/>
  <c r="D9" i="2"/>
  <c r="F9" i="2" s="1"/>
  <c r="F3" i="2"/>
  <c r="F4" i="2"/>
  <c r="F5" i="2"/>
  <c r="F6" i="2"/>
  <c r="F7" i="2"/>
  <c r="F2" i="2"/>
  <c r="E7" i="2"/>
  <c r="E6" i="2"/>
  <c r="E5" i="2"/>
  <c r="E4" i="2"/>
  <c r="E3" i="2"/>
  <c r="E2" i="2"/>
  <c r="D3" i="2"/>
  <c r="D4" i="2"/>
  <c r="D5" i="2"/>
  <c r="D6" i="2"/>
  <c r="D7" i="2"/>
  <c r="D2" i="2"/>
  <c r="C5" i="7"/>
  <c r="B5" i="7"/>
  <c r="D3" i="7"/>
  <c r="D2" i="7"/>
  <c r="F5" i="1"/>
  <c r="C5" i="1"/>
  <c r="E5" i="1"/>
  <c r="B5" i="1"/>
  <c r="D3" i="1"/>
  <c r="D2" i="1"/>
  <c r="F5" i="8" l="1"/>
  <c r="F4" i="8"/>
  <c r="F3" i="8"/>
  <c r="D5" i="7"/>
</calcChain>
</file>

<file path=xl/sharedStrings.xml><?xml version="1.0" encoding="utf-8"?>
<sst xmlns="http://schemas.openxmlformats.org/spreadsheetml/2006/main" count="886" uniqueCount="807">
  <si>
    <t>Last month</t>
  </si>
  <si>
    <t>2 months ago</t>
  </si>
  <si>
    <t>Visits</t>
  </si>
  <si>
    <t>GMV</t>
  </si>
  <si>
    <t>Period</t>
  </si>
  <si>
    <t>Orders</t>
  </si>
  <si>
    <t>Conversion Rate</t>
  </si>
  <si>
    <t>Step 1 - Vouchers Mini app - Landing Page</t>
  </si>
  <si>
    <t>Step 2 - Vouchers Mini app - Product View</t>
  </si>
  <si>
    <t>Step 3 - Vouchers Mini App - Add to Cart</t>
  </si>
  <si>
    <t>Step 4 - Vouchers Mini app - My Cart</t>
  </si>
  <si>
    <t>Step 5 - Vouchers Mini app - Payment Summary</t>
  </si>
  <si>
    <t>Step 6 - Vouchers Mini App - Buy Now Purchase</t>
  </si>
  <si>
    <t>Steps</t>
  </si>
  <si>
    <t>Last Month</t>
  </si>
  <si>
    <t>2 Months Ago</t>
  </si>
  <si>
    <t>Change</t>
  </si>
  <si>
    <t>Conversions Last Month</t>
  </si>
  <si>
    <t>Conversions 2 Months</t>
  </si>
  <si>
    <t>Product</t>
  </si>
  <si>
    <t>Product Views</t>
  </si>
  <si>
    <t>Cart Additions</t>
  </si>
  <si>
    <t>r5 hollywood bets voucher</t>
  </si>
  <si>
    <t>r10 hollywood bets voucher</t>
  </si>
  <si>
    <t>r20 hollywood bets voucher</t>
  </si>
  <si>
    <t>r25 blu voucher</t>
  </si>
  <si>
    <t>r50 blu voucher</t>
  </si>
  <si>
    <t>r75 blu voucher</t>
  </si>
  <si>
    <t>r100 blu voucher</t>
  </si>
  <si>
    <t>r50 hollywood bets voucher</t>
  </si>
  <si>
    <t>r100 hollywood bets voucher</t>
  </si>
  <si>
    <t>betway bucks r25 voucher</t>
  </si>
  <si>
    <t>betway bucks r50 voucher</t>
  </si>
  <si>
    <t>betway bucks r75 voucher</t>
  </si>
  <si>
    <t>betway bucks r100 voucher</t>
  </si>
  <si>
    <t>betway bucks r150</t>
  </si>
  <si>
    <t>betway bucks r300 voucher</t>
  </si>
  <si>
    <t>r10 lottostar voucher</t>
  </si>
  <si>
    <t>r10 supersportbet voucher</t>
  </si>
  <si>
    <t>r50 shoprite voucher</t>
  </si>
  <si>
    <t>r50 kfc voucher</t>
  </si>
  <si>
    <t>kfc r50 voucher</t>
  </si>
  <si>
    <t>r75 shoprite voucher</t>
  </si>
  <si>
    <t>r100 kfc voucher</t>
  </si>
  <si>
    <t>shoprite r75 voucher</t>
  </si>
  <si>
    <t>kfc r75 voucher</t>
  </si>
  <si>
    <t>kfc r100 voucher</t>
  </si>
  <si>
    <t>r150 shoprite voucher</t>
  </si>
  <si>
    <t>kfc r150 voucher</t>
  </si>
  <si>
    <t>r200 shoprite voucher</t>
  </si>
  <si>
    <t>shoprite r150 voucher</t>
  </si>
  <si>
    <t>shoprite r200 voucher</t>
  </si>
  <si>
    <t>r75 kfc voucher</t>
  </si>
  <si>
    <t>shoprite r400 voucher</t>
  </si>
  <si>
    <t>shoprite r600 voucher</t>
  </si>
  <si>
    <t>r600 shoprite voucher</t>
  </si>
  <si>
    <t>r20 lottostar voucher</t>
  </si>
  <si>
    <t>r50 checkers voucher</t>
  </si>
  <si>
    <t>r75 checkers voucher</t>
  </si>
  <si>
    <t>r30 nando's voucher</t>
  </si>
  <si>
    <t>checkers r75 voucher</t>
  </si>
  <si>
    <t>r150 checkers voucher</t>
  </si>
  <si>
    <t>r200 checkers voucher</t>
  </si>
  <si>
    <t>checkers r150 voucher</t>
  </si>
  <si>
    <t>checkers r200 voucher</t>
  </si>
  <si>
    <t>checkers r400 voucher</t>
  </si>
  <si>
    <t>r600 checkers voucher</t>
  </si>
  <si>
    <t>checkers r600 voucher</t>
  </si>
  <si>
    <t>r20 supersportbet voucher</t>
  </si>
  <si>
    <t>spur r75 voucher</t>
  </si>
  <si>
    <t>r200 bp voucher</t>
  </si>
  <si>
    <t>r100 spur voucher</t>
  </si>
  <si>
    <t>r150 spur voucher</t>
  </si>
  <si>
    <t>r400 bp voucher</t>
  </si>
  <si>
    <t>bp r400 voucher</t>
  </si>
  <si>
    <t>r800 bp voucher</t>
  </si>
  <si>
    <t>bp r800 voucher</t>
  </si>
  <si>
    <t>r25 supersportbet voucher</t>
  </si>
  <si>
    <t>ebet r50 voucher</t>
  </si>
  <si>
    <t>r50 lottostar voucher</t>
  </si>
  <si>
    <t>r75 intercape voucher</t>
  </si>
  <si>
    <t>r85 med. soda &amp; pop nu metro voucher</t>
  </si>
  <si>
    <t>r400 checkers voucher</t>
  </si>
  <si>
    <t>r140 2d nu metro voucher</t>
  </si>
  <si>
    <t>r140 3d nu metro voucher</t>
  </si>
  <si>
    <t>r175 full vip 2d nu metro voucher</t>
  </si>
  <si>
    <t>r175 full vip 3d nu metro voucher</t>
  </si>
  <si>
    <t>r135 3d nu metro voucher</t>
  </si>
  <si>
    <t>r135 2d nu metro voucher</t>
  </si>
  <si>
    <t>r30 supersportbet voucher</t>
  </si>
  <si>
    <t>r50 nando's voucher</t>
  </si>
  <si>
    <t>r150 intercape voucher</t>
  </si>
  <si>
    <t>r300 spur voucher</t>
  </si>
  <si>
    <t>r100 lottostar voucher</t>
  </si>
  <si>
    <t>r200 spur voucher</t>
  </si>
  <si>
    <t>r50 supersportbet voucher</t>
  </si>
  <si>
    <t>r75 roman's pizza voucher</t>
  </si>
  <si>
    <t>r200 lottostar voucher</t>
  </si>
  <si>
    <t>r1000 lottostar voucher</t>
  </si>
  <si>
    <t>r500 lottostar voucher</t>
  </si>
  <si>
    <t>r100 roman's pizza voucher</t>
  </si>
  <si>
    <t>r150 roman's pizza voucher</t>
  </si>
  <si>
    <t>r500 adjoa samsung voucher</t>
  </si>
  <si>
    <t>r5000 adjoa samsung voucher</t>
  </si>
  <si>
    <t>r1000 adjoa samsung voucher</t>
  </si>
  <si>
    <t>r2500 adjoa samsung voucher</t>
  </si>
  <si>
    <t>r75 nando's voucher</t>
  </si>
  <si>
    <t>r100 nando's voucher</t>
  </si>
  <si>
    <t>r100 supersportbet voucher</t>
  </si>
  <si>
    <t>r150 supersportbet voucher</t>
  </si>
  <si>
    <t>r250 supersportbet voucher</t>
  </si>
  <si>
    <t>r75 rocomamas voucher</t>
  </si>
  <si>
    <t>r75 kauai voucher</t>
  </si>
  <si>
    <t>r500 lift airlines voucher</t>
  </si>
  <si>
    <t>r575 lift airlines voucher</t>
  </si>
  <si>
    <t>r1000 lift airlines voucher</t>
  </si>
  <si>
    <t>r300 intercape voucher</t>
  </si>
  <si>
    <t>r100 kauai voucher</t>
  </si>
  <si>
    <t>r75 primi voucher</t>
  </si>
  <si>
    <t>ebet r250</t>
  </si>
  <si>
    <t>r150 kauai voucher</t>
  </si>
  <si>
    <t>r75 panarottis voucher (10%)</t>
  </si>
  <si>
    <t>r75 krispy kreme voucher</t>
  </si>
  <si>
    <t>r100 rocomamas voucher</t>
  </si>
  <si>
    <t>r100 col'cacchio voucher</t>
  </si>
  <si>
    <t>r150 rocomamas voucher</t>
  </si>
  <si>
    <t>r200 rocomamas voucher</t>
  </si>
  <si>
    <t>r500 travelwings voucher</t>
  </si>
  <si>
    <t>r80 legends barber voucher</t>
  </si>
  <si>
    <t>r150 mangwanani spa voucher</t>
  </si>
  <si>
    <t>r1000 travelwings voucher</t>
  </si>
  <si>
    <t>r200 mangwanani spa voucher</t>
  </si>
  <si>
    <t>r150 legit voucher</t>
  </si>
  <si>
    <t>r150 krispy kreme voucher</t>
  </si>
  <si>
    <t>r500 mangwanani spa voucher</t>
  </si>
  <si>
    <t>r750 mangwanani spa voucher</t>
  </si>
  <si>
    <t>r500 koodoo voucher</t>
  </si>
  <si>
    <t>r150 cape union mart voucher</t>
  </si>
  <si>
    <t>r300 legit voucher</t>
  </si>
  <si>
    <t>mangwanani spa r150 voucher</t>
  </si>
  <si>
    <t>mangwanani spa r200 voucher</t>
  </si>
  <si>
    <t>mangwanani spa r500 voucher</t>
  </si>
  <si>
    <t>mangwanani spa r750 voucher</t>
  </si>
  <si>
    <t>r100 netflorist voucher</t>
  </si>
  <si>
    <t>r200 cape union mart voucher</t>
  </si>
  <si>
    <t>r100 legends barber voucher</t>
  </si>
  <si>
    <t>r300 cape union mart voucher</t>
  </si>
  <si>
    <t>r75 panarottis voucher</t>
  </si>
  <si>
    <t>r5000 koodoo voucher</t>
  </si>
  <si>
    <t>r150 legends barber voucher</t>
  </si>
  <si>
    <t>r250 legends barber voucher</t>
  </si>
  <si>
    <t>r500 cape union mart voucher</t>
  </si>
  <si>
    <t>r1000 cape union mart voucher</t>
  </si>
  <si>
    <t>r1000 cape union mart  voucher</t>
  </si>
  <si>
    <t>r150 old khaki voucher</t>
  </si>
  <si>
    <t>r200 old khaki voucher</t>
  </si>
  <si>
    <t>r150 sorbet voucher</t>
  </si>
  <si>
    <t>krispy kream r100</t>
  </si>
  <si>
    <t>r300 old khaki voucher</t>
  </si>
  <si>
    <t>r150 col'cacchio voucher</t>
  </si>
  <si>
    <t>r200 sorbet voucher</t>
  </si>
  <si>
    <t>r200 netflorist voucher</t>
  </si>
  <si>
    <t>r500 old khaki voucher</t>
  </si>
  <si>
    <t>r300 netflorist voucher</t>
  </si>
  <si>
    <t>r150 panarottis voucher</t>
  </si>
  <si>
    <t>r75 john dory's voucher (10%)</t>
  </si>
  <si>
    <t>r500 netflorist voucher</t>
  </si>
  <si>
    <t>r300 panarottis voucher (10%)</t>
  </si>
  <si>
    <t>r500 sorbet voucher</t>
  </si>
  <si>
    <t>r200 panarottis voucher</t>
  </si>
  <si>
    <t>krispy kreme r100</t>
  </si>
  <si>
    <t>panarottis r300 voucher</t>
  </si>
  <si>
    <t>r100 toysrus voucher</t>
  </si>
  <si>
    <t>ebet r250 voucher</t>
  </si>
  <si>
    <t>r100 partners in wine voucher</t>
  </si>
  <si>
    <t>r100 john dory's voucher (10%)</t>
  </si>
  <si>
    <t>r300 col'cacchio voucher</t>
  </si>
  <si>
    <t>r75 turn ‘n tender voucher</t>
  </si>
  <si>
    <t>r75 lupa osteria voucher</t>
  </si>
  <si>
    <t>krispy kreme r75</t>
  </si>
  <si>
    <t>r75 salsa mexican grill voucher</t>
  </si>
  <si>
    <t>r150 primi voucher</t>
  </si>
  <si>
    <t>r100 sweepsouth voucher</t>
  </si>
  <si>
    <t>r150 poetry voucher</t>
  </si>
  <si>
    <t>r75 john dory's voucher</t>
  </si>
  <si>
    <t>r200 toysrus voucher</t>
  </si>
  <si>
    <t>krispy kreme r150</t>
  </si>
  <si>
    <t>r1000 hirsch's voucher</t>
  </si>
  <si>
    <t>babies r us r100</t>
  </si>
  <si>
    <t>r300 toysrus voucher</t>
  </si>
  <si>
    <t>r200 poetry voucher</t>
  </si>
  <si>
    <t>r200 primi voucher</t>
  </si>
  <si>
    <t>r2500 hirsch's</t>
  </si>
  <si>
    <t>r5000 hirsch's voucher</t>
  </si>
  <si>
    <t>r5000 hirsch's</t>
  </si>
  <si>
    <t>r2500 hirsch's voucher</t>
  </si>
  <si>
    <t>r300 poetry voucher</t>
  </si>
  <si>
    <t>r100 john dory's voucher</t>
  </si>
  <si>
    <t>r100 lupa osteria voucher</t>
  </si>
  <si>
    <t>r100 turn ‘n tender voucher</t>
  </si>
  <si>
    <t>r150 john dory's voucher (10%)</t>
  </si>
  <si>
    <t>r500 zulzi voucher</t>
  </si>
  <si>
    <t>r500 poetry voucher</t>
  </si>
  <si>
    <t>r300 zulzi voucher</t>
  </si>
  <si>
    <t>r150 keedo voucher</t>
  </si>
  <si>
    <t>r200 partners in wine voucher</t>
  </si>
  <si>
    <t>r350 partners in wine voucher</t>
  </si>
  <si>
    <t>r300 partners in wine voucher</t>
  </si>
  <si>
    <t>r100 salsa mexican grill voucher</t>
  </si>
  <si>
    <t>r150 sweepsouth  voucher</t>
  </si>
  <si>
    <t>r300 keedo voucher</t>
  </si>
  <si>
    <t>big blue online r150</t>
  </si>
  <si>
    <t>babies r us r200</t>
  </si>
  <si>
    <t>r200 john dory's voucher (10%)</t>
  </si>
  <si>
    <t>babies r us r300</t>
  </si>
  <si>
    <t>r150 john dory's voucher</t>
  </si>
  <si>
    <t>r200 john dory's voucher</t>
  </si>
  <si>
    <t>r100 sweepsouth  voucher</t>
  </si>
  <si>
    <t>r400 keedo voucher</t>
  </si>
  <si>
    <t>r750 zulzi voucher</t>
  </si>
  <si>
    <t>r200 turn ‘n tender voucher</t>
  </si>
  <si>
    <t>r150 turn 'n tender voucher</t>
  </si>
  <si>
    <t>r150 lupa osteria voucher</t>
  </si>
  <si>
    <t>big blue online r300</t>
  </si>
  <si>
    <t>r150 salsa mexican grill voucher</t>
  </si>
  <si>
    <t>r300 turn ‘n tender voucher</t>
  </si>
  <si>
    <t>r1000 visionworks voucher</t>
  </si>
  <si>
    <t>r250 visionworks voucher</t>
  </si>
  <si>
    <t>r500 visionworks voucher</t>
  </si>
  <si>
    <t>r200 salsa mexican grill voucher</t>
  </si>
  <si>
    <t>r200 lupa osteria voucher</t>
  </si>
  <si>
    <t>r300 lupa osteria voucher</t>
  </si>
  <si>
    <t>r500 born fabulous</t>
  </si>
  <si>
    <t>r300 salsa mexican grill voucher</t>
  </si>
  <si>
    <t>big blue online r500</t>
  </si>
  <si>
    <t>primi r150 voucher</t>
  </si>
  <si>
    <t>big blue online r870</t>
  </si>
  <si>
    <t>r100 panarottis voucher (10%)</t>
  </si>
  <si>
    <t>r1000 born fabulous</t>
  </si>
  <si>
    <t>primi r200 voucher</t>
  </si>
  <si>
    <t>r2500 born fabulous</t>
  </si>
  <si>
    <t>born fabulous r500 voucher</t>
  </si>
  <si>
    <t>born r2500 fabulous voucher</t>
  </si>
  <si>
    <t>born fabulous r1000 voucher</t>
  </si>
  <si>
    <t>r150 panarottis voucher (10%)</t>
  </si>
  <si>
    <t>r1000 besafe voucher</t>
  </si>
  <si>
    <t>r1000 stokke voucher</t>
  </si>
  <si>
    <t>r2500 besafe voucher</t>
  </si>
  <si>
    <t>besafe r5000 voucher</t>
  </si>
  <si>
    <t>besafe r2500 voucher</t>
  </si>
  <si>
    <t>besafe  r1000 voucher</t>
  </si>
  <si>
    <t>r5000 besafe voucher</t>
  </si>
  <si>
    <t>r2500 stokke voucher</t>
  </si>
  <si>
    <t>r4000 stokke voucher</t>
  </si>
  <si>
    <t>stokke r4000 voucher</t>
  </si>
  <si>
    <t>stokke r2500 voucher</t>
  </si>
  <si>
    <t>stokke r1000 voucher</t>
  </si>
  <si>
    <t>r5 hollywood bets voucher  (new)</t>
  </si>
  <si>
    <t>r75 debonairs  voucher</t>
  </si>
  <si>
    <t>r600 engen voucher</t>
  </si>
  <si>
    <t>r100 debonairs voucher</t>
  </si>
  <si>
    <t>r150 debonairs voucher</t>
  </si>
  <si>
    <t>r100 hungry lion voucher</t>
  </si>
  <si>
    <t>r400 edgars voucher</t>
  </si>
  <si>
    <t>wimpy r100 vp</t>
  </si>
  <si>
    <t>wimpy r150 vp</t>
  </si>
  <si>
    <t>Step 3 - Voucher Mini App - Advance Checkout</t>
  </si>
  <si>
    <t>Step 4 - Voucher Mini app - Advances Payment Summary</t>
  </si>
  <si>
    <t>Step 5 - Vouchers Mini App - Advance Purchase</t>
  </si>
  <si>
    <t>subscription failed due to insufficient funds.</t>
  </si>
  <si>
    <t>service unavailable now. please try again.</t>
  </si>
  <si>
    <t>payment failed. due to trade pay codes</t>
  </si>
  <si>
    <t>cvm buynow reservation failure</t>
  </si>
  <si>
    <t>unsubscription failed. due to network error</t>
  </si>
  <si>
    <t>whoops something went wrong: 500</t>
  </si>
  <si>
    <t>cvm advance reservation failure</t>
  </si>
  <si>
    <t>failed to copy voucher code</t>
  </si>
  <si>
    <t>cvm history error</t>
  </si>
  <si>
    <t>fs auth error</t>
  </si>
  <si>
    <t>magento catalogue error</t>
  </si>
  <si>
    <t>error occurred while processing your payment</t>
  </si>
  <si>
    <t>failed to copy voucher pin</t>
  </si>
  <si>
    <t>payment failed. due to unexpected recurring payment response code</t>
  </si>
  <si>
    <t>something went wrong. please try again later.</t>
  </si>
  <si>
    <t>connection lost, please try again: failed to fetch</t>
  </si>
  <si>
    <t>connection lost, please try again: cannot destructure property 'email' of 'undefined' as it is undefined.</t>
  </si>
  <si>
    <t>connection lost, please try again: load failed</t>
  </si>
  <si>
    <t>Error Name</t>
  </si>
  <si>
    <t>Activation</t>
  </si>
  <si>
    <t>Completion</t>
  </si>
  <si>
    <t>Step 1 - Vodapay Club - Landing Page</t>
  </si>
  <si>
    <t>Step 2 - Vodapay Club - Choose Plan</t>
  </si>
  <si>
    <t>Step 3 - Vodapay Club - Subscription Summary</t>
  </si>
  <si>
    <t>Step 4 - Vodapay Club - Subscription Activated</t>
  </si>
  <si>
    <t>Voucher Advance buy now success</t>
  </si>
  <si>
    <t>Units</t>
  </si>
  <si>
    <t>r400 shoprite voucher</t>
  </si>
  <si>
    <t>r25 wanejo bets voucher</t>
  </si>
  <si>
    <t>1023.83</t>
  </si>
  <si>
    <t>6332.26</t>
  </si>
  <si>
    <t>3335.5</t>
  </si>
  <si>
    <t>36883.08</t>
  </si>
  <si>
    <t>8586.36</t>
  </si>
  <si>
    <t>3079.89</t>
  </si>
  <si>
    <t>10177.25</t>
  </si>
  <si>
    <t>41696.24</t>
  </si>
  <si>
    <t>20245.72</t>
  </si>
  <si>
    <t>5384.5</t>
  </si>
  <si>
    <t>2584.56</t>
  </si>
  <si>
    <t>322.23</t>
  </si>
  <si>
    <t>27451.88</t>
  </si>
  <si>
    <t>wanejo bets r25 voucher</t>
  </si>
  <si>
    <t>413.06</t>
  </si>
  <si>
    <t>r50 plato coffee voucher</t>
  </si>
  <si>
    <t>272.7</t>
  </si>
  <si>
    <t>r50 wanejo bets voucher</t>
  </si>
  <si>
    <t>476.2</t>
  </si>
  <si>
    <t>9875.2</t>
  </si>
  <si>
    <t>18666.69</t>
  </si>
  <si>
    <t>76804.06</t>
  </si>
  <si>
    <t>wanejo bets r50 voucher</t>
  </si>
  <si>
    <t>86.96000000000001</t>
  </si>
  <si>
    <t>r75 wanejo bets voucher</t>
  </si>
  <si>
    <t>214.29</t>
  </si>
  <si>
    <t>plato coffee r50 voucher</t>
  </si>
  <si>
    <t>260.88</t>
  </si>
  <si>
    <t>wanejo bets r75 voucher</t>
  </si>
  <si>
    <t>65.22</t>
  </si>
  <si>
    <t>wanejo bets 100 voucher</t>
  </si>
  <si>
    <t>434.8</t>
  </si>
  <si>
    <t>r100 wanejo bets voucher</t>
  </si>
  <si>
    <t>952.4</t>
  </si>
  <si>
    <t>wanejo bets r400 voucher</t>
  </si>
  <si>
    <t>695.66</t>
  </si>
  <si>
    <t>r75 plato coffee voucher</t>
  </si>
  <si>
    <t>68.18</t>
  </si>
  <si>
    <t>r400 wanejo bets voucher</t>
  </si>
  <si>
    <t>1142.8500000000001</t>
  </si>
  <si>
    <t>r100 plato coffee voucher</t>
  </si>
  <si>
    <t>90.91</t>
  </si>
  <si>
    <t>r150 plato coffee voucher</t>
  </si>
  <si>
    <t>409.08</t>
  </si>
  <si>
    <t>plato coffee r75 voucher</t>
  </si>
  <si>
    <t>130.44</t>
  </si>
  <si>
    <t>plato coffee r100 voucher</t>
  </si>
  <si>
    <t>plato coffee r150 voucher</t>
  </si>
  <si>
    <t>1173.8700000000001</t>
  </si>
  <si>
    <t>1491.07</t>
  </si>
  <si>
    <t>61.54</t>
  </si>
  <si>
    <t>181.82</t>
  </si>
  <si>
    <t>2613.65</t>
  </si>
  <si>
    <t>909.1</t>
  </si>
  <si>
    <t>454.55</t>
  </si>
  <si>
    <t>153.84</t>
  </si>
  <si>
    <t>1232.06</t>
  </si>
  <si>
    <t>667.32</t>
  </si>
  <si>
    <t>2978.76</t>
  </si>
  <si>
    <t>18827.36</t>
  </si>
  <si>
    <t>285.72</t>
  </si>
  <si>
    <t>4821.3</t>
  </si>
  <si>
    <t>2999.92</t>
  </si>
  <si>
    <t>1363.65</t>
  </si>
  <si>
    <t>toy kingdom r100 voucher</t>
  </si>
  <si>
    <t>toy kingdom r200 voucher</t>
  </si>
  <si>
    <t>toy kingdom r300 voucher</t>
  </si>
  <si>
    <t>r100 toy kingdom voucher</t>
  </si>
  <si>
    <t>toy kingdom r400 voucher</t>
  </si>
  <si>
    <t>r300 toy kingdom voucher</t>
  </si>
  <si>
    <t>r200 toy kingdom voucher</t>
  </si>
  <si>
    <t>r400 toy kingdom voucher</t>
  </si>
  <si>
    <t>r50 intercity xpress voucher</t>
  </si>
  <si>
    <t>tlc r220 flight voucher</t>
  </si>
  <si>
    <t>r220 tlc flight voucher</t>
  </si>
  <si>
    <t>tlc travel r500 voucher</t>
  </si>
  <si>
    <t>r500 tlc travel voucher</t>
  </si>
  <si>
    <t>intercity xpress r50 voucher</t>
  </si>
  <si>
    <t>Unspecified</t>
  </si>
  <si>
    <t>r500.00 tlc travel voucher</t>
  </si>
  <si>
    <t>r300 engen voucher</t>
  </si>
  <si>
    <t>payment failed[business error]: due to user cancelled payment request</t>
  </si>
  <si>
    <t>payment failed[business error]: due to trade pay codes</t>
  </si>
  <si>
    <t>magento buynow add failure</t>
  </si>
  <si>
    <t>whoops something went wrong: 400</t>
  </si>
  <si>
    <t>miniapp authcode error</t>
  </si>
  <si>
    <t>payment failed[business error]: due to unexpected recurring payment response code</t>
  </si>
  <si>
    <t>2 Month Ago</t>
  </si>
  <si>
    <t>CVM Push Notifications</t>
  </si>
  <si>
    <t>VFS CVM SMS Campaigns</t>
  </si>
  <si>
    <t>Vodamedia</t>
  </si>
  <si>
    <t>Connect U : Banner</t>
  </si>
  <si>
    <t>channel</t>
  </si>
  <si>
    <t>campaign_network</t>
  </si>
  <si>
    <t>Vouchers New and Existing Users</t>
  </si>
  <si>
    <t>CVM WhatsApp Campaigns</t>
  </si>
  <si>
    <t>Subscribe to VodaPay Club and Get A R20 Coupon</t>
  </si>
  <si>
    <t>Subscribe to VodaPay Club and Get A discount</t>
  </si>
  <si>
    <t>Vouchers</t>
  </si>
  <si>
    <t>Subscribe to VodaPay Club and Get A Discount</t>
  </si>
  <si>
    <t>VP Vouchers | Nandos | AO</t>
  </si>
  <si>
    <t>VP Vouchers | Spur| AO</t>
  </si>
  <si>
    <t>VP Vouchers | Generic | Club</t>
  </si>
  <si>
    <t>VP Vouchers |bp| 10%</t>
  </si>
  <si>
    <t>VP Vouchers |Travelwings | AO</t>
  </si>
  <si>
    <t>Cart Additions / Voucher Advance buy now success</t>
  </si>
  <si>
    <t>0.154654921322772</t>
  </si>
  <si>
    <t>0.16285066812534188</t>
  </si>
  <si>
    <t>0.29724059003051884</t>
  </si>
  <si>
    <t>0.3389250256761383</t>
  </si>
  <si>
    <t>0.309</t>
  </si>
  <si>
    <t>0.3318695106649937</t>
  </si>
  <si>
    <t>0.3360626973915078</t>
  </si>
  <si>
    <t>0.38783649052841473</t>
  </si>
  <si>
    <t>0.3271375464684015</t>
  </si>
  <si>
    <t>0.3797354179194227</t>
  </si>
  <si>
    <t>0.15655374705239547</t>
  </si>
  <si>
    <t>0.22857658307775572</t>
  </si>
  <si>
    <t>0.02945205479452055</t>
  </si>
  <si>
    <t>4142.9400000000005</t>
  </si>
  <si>
    <t>0.03287461773700306</t>
  </si>
  <si>
    <t>0.1375</t>
  </si>
  <si>
    <t>0.15060240963855423</t>
  </si>
  <si>
    <t>0.28448275862068967</t>
  </si>
  <si>
    <t>0.36363636363636365</t>
  </si>
  <si>
    <t>0.24331550802139038</t>
  </si>
  <si>
    <t>0.3254901960784314</t>
  </si>
  <si>
    <t>0.0223463687150838</t>
  </si>
  <si>
    <t>0.10196078431372549</t>
  </si>
  <si>
    <t>0.08280254777070063</t>
  </si>
  <si>
    <t>0.2235294117647059</t>
  </si>
  <si>
    <t>0.09251101321585903</t>
  </si>
  <si>
    <t>0.38</t>
  </si>
  <si>
    <t>0.0695970695970696</t>
  </si>
  <si>
    <t>0.18585131894484413</t>
  </si>
  <si>
    <t>0.12355309511826874</t>
  </si>
  <si>
    <t>0.19957793186614411</t>
  </si>
  <si>
    <t>0.28350515463917525</t>
  </si>
  <si>
    <t>0.38333333333333336</t>
  </si>
  <si>
    <t>0.09274193548387097</t>
  </si>
  <si>
    <t>0.1875</t>
  </si>
  <si>
    <t>0.09655172413793103</t>
  </si>
  <si>
    <t>0.3333333333333333</t>
  </si>
  <si>
    <t>0.0922242314647378</t>
  </si>
  <si>
    <t>2428.62</t>
  </si>
  <si>
    <t>0.06578947368421052</t>
  </si>
  <si>
    <t>0.13732394366197184</t>
  </si>
  <si>
    <t>0.4482758620689655</t>
  </si>
  <si>
    <t>0.07708014293006636</t>
  </si>
  <si>
    <t>0.10819112627986348</t>
  </si>
  <si>
    <t>0.1031390134529148</t>
  </si>
  <si>
    <t>0.18010291595197256</t>
  </si>
  <si>
    <t>0.07226107226107226</t>
  </si>
  <si>
    <t>1369.6200000000001</t>
  </si>
  <si>
    <t>0.095</t>
  </si>
  <si>
    <t>0.008452192287374538</t>
  </si>
  <si>
    <t>0.012607449856733524</t>
  </si>
  <si>
    <t>0.0226628895184136</t>
  </si>
  <si>
    <t>0.026277372262773723</t>
  </si>
  <si>
    <t>0.025362318840579712</t>
  </si>
  <si>
    <t>0.03063063063063063</t>
  </si>
  <si>
    <t>0.04666666666666667</t>
  </si>
  <si>
    <t>0.08777969018932874</t>
  </si>
  <si>
    <t>0.0392156862745098</t>
  </si>
  <si>
    <t>0.019656019656019656</t>
  </si>
  <si>
    <t>0.008565310492505354</t>
  </si>
  <si>
    <t>0.025933609958506226</t>
  </si>
  <si>
    <t>0.009982788296041309</t>
  </si>
  <si>
    <t>0.009772565742714996</t>
  </si>
  <si>
    <t>0.16260162601626016</t>
  </si>
  <si>
    <t>869.6</t>
  </si>
  <si>
    <t>0.05555555555555555</t>
  </si>
  <si>
    <t>0.09467455621301775</t>
  </si>
  <si>
    <t>1142.88</t>
  </si>
  <si>
    <t>0.058823529411764705</t>
  </si>
  <si>
    <t>0.027308192457737322</t>
  </si>
  <si>
    <t>0.020676691729323307</t>
  </si>
  <si>
    <t>0.04810126582278481</t>
  </si>
  <si>
    <t>0.04467680608365019</t>
  </si>
  <si>
    <t>0.16896551724137931</t>
  </si>
  <si>
    <t>5333.4400000000005</t>
  </si>
  <si>
    <t>0.11627906976744186</t>
  </si>
  <si>
    <t>0.15</t>
  </si>
  <si>
    <t>391.32</t>
  </si>
  <si>
    <t>0.05263157894736842</t>
  </si>
  <si>
    <t>0.2222222222222222</t>
  </si>
  <si>
    <t>956.5600000000001</t>
  </si>
  <si>
    <t>0.16129032258064516</t>
  </si>
  <si>
    <t>0.14184397163120568</t>
  </si>
  <si>
    <t>10434.9</t>
  </si>
  <si>
    <t>0.020202020202020204</t>
  </si>
  <si>
    <t>0.00847457627118644</t>
  </si>
  <si>
    <t>3047.6</t>
  </si>
  <si>
    <t>0.014925373134328358</t>
  </si>
  <si>
    <t>betway bucks r165 voucher</t>
  </si>
  <si>
    <t>0.09874826147426982</t>
  </si>
  <si>
    <t>0.08147138964577656</t>
  </si>
  <si>
    <t>0.5487316421895861</t>
  </si>
  <si>
    <t>0.592964824120603</t>
  </si>
  <si>
    <t>0.19973718791064388</t>
  </si>
  <si>
    <t>0.19032258064516128</t>
  </si>
  <si>
    <t>0.18421052631578946</t>
  </si>
  <si>
    <t>0.17128279883381925</t>
  </si>
  <si>
    <t>0.038461538461538464</t>
  </si>
  <si>
    <t>0.05451713395638629</t>
  </si>
  <si>
    <t>0.5359897172236504</t>
  </si>
  <si>
    <t>0.5222602739726028</t>
  </si>
  <si>
    <t>0.021164021164021163</t>
  </si>
  <si>
    <t>0.125</t>
  </si>
  <si>
    <t>0.035211267605633804</t>
  </si>
  <si>
    <t>0.04075235109717868</t>
  </si>
  <si>
    <t>0.0703125</t>
  </si>
  <si>
    <t>0.04020100502512563</t>
  </si>
  <si>
    <t>0.07303370786516854</t>
  </si>
  <si>
    <t>0.09871244635193133</t>
  </si>
  <si>
    <t>0.057971014492753624</t>
  </si>
  <si>
    <t>0.010033444816053512</t>
  </si>
  <si>
    <t>0.04017857142857143</t>
  </si>
  <si>
    <t>0.03183023872679045</t>
  </si>
  <si>
    <t>0.11626248216833096</t>
  </si>
  <si>
    <t>18764.72</t>
  </si>
  <si>
    <t>0.10088331008833101</t>
  </si>
  <si>
    <t>0.004780876494023904</t>
  </si>
  <si>
    <t>0.0033149171270718232</t>
  </si>
  <si>
    <t>0.022727272727272728</t>
  </si>
  <si>
    <t>2225.71</t>
  </si>
  <si>
    <t>0.056241426611796985</t>
  </si>
  <si>
    <t>0.14027149321266968</t>
  </si>
  <si>
    <t>15310.75</t>
  </si>
  <si>
    <t>0.1553588987217306</t>
  </si>
  <si>
    <t>0.044585987261146494</t>
  </si>
  <si>
    <t>0.02600216684723727</t>
  </si>
  <si>
    <t>0.19148936170212766</t>
  </si>
  <si>
    <t>3173.2200000000003</t>
  </si>
  <si>
    <t>0.19815668202764977</t>
  </si>
  <si>
    <t>0.05448717948717949</t>
  </si>
  <si>
    <t>6784.47</t>
  </si>
  <si>
    <t>0.051570835803200946</t>
  </si>
  <si>
    <t>0.05660377358490566</t>
  </si>
  <si>
    <t>653.3100000000001</t>
  </si>
  <si>
    <t>0.060240963855421686</t>
  </si>
  <si>
    <t>0.013157894736842105</t>
  </si>
  <si>
    <t>642.22</t>
  </si>
  <si>
    <t>0.006811989100817439</t>
  </si>
  <si>
    <t>0.02768166089965398</t>
  </si>
  <si>
    <t>0.0141287284144427</t>
  </si>
  <si>
    <t>0.09658344283837056</t>
  </si>
  <si>
    <t>14535.95</t>
  </si>
  <si>
    <t>0.06208213944603629</t>
  </si>
  <si>
    <t>0.04480651731160896</t>
  </si>
  <si>
    <t>8182.5</t>
  </si>
  <si>
    <t>0.06430155210643015</t>
  </si>
  <si>
    <t>0.24673784104389088</t>
  </si>
  <si>
    <t>43833.44</t>
  </si>
  <si>
    <t>0.25510204081632654</t>
  </si>
  <si>
    <t>0.029411764705882353</t>
  </si>
  <si>
    <t>0.01937984496124031</t>
  </si>
  <si>
    <t>0.14</t>
  </si>
  <si>
    <t>782.64</t>
  </si>
  <si>
    <t>0.11320754716981132</t>
  </si>
  <si>
    <t>0.03796376186367558</t>
  </si>
  <si>
    <t>0.024983563445101907</t>
  </si>
  <si>
    <t>0.034482758620689655</t>
  </si>
  <si>
    <t>340.90000000000003</t>
  </si>
  <si>
    <t>0.008333333333333333</t>
  </si>
  <si>
    <t>0.1956521739130435</t>
  </si>
  <si>
    <t>0.16180371352785147</t>
  </si>
  <si>
    <t>0.2541436464088398</t>
  </si>
  <si>
    <t>147786.56</t>
  </si>
  <si>
    <t>0.23827629911280102</t>
  </si>
  <si>
    <t>0.06097560975609756</t>
  </si>
  <si>
    <t>0.016129032258064516</t>
  </si>
  <si>
    <t>0.11040339702760085</t>
  </si>
  <si>
    <t>0.06888888888888889</t>
  </si>
  <si>
    <t>0.08860759493670886</t>
  </si>
  <si>
    <t>954.52</t>
  </si>
  <si>
    <t>0.031578947368421054</t>
  </si>
  <si>
    <t>0.25</t>
  </si>
  <si>
    <t>0.42105263157894735</t>
  </si>
  <si>
    <t>0.3</t>
  </si>
  <si>
    <t>0.45454545454545453</t>
  </si>
  <si>
    <t>1956.45</t>
  </si>
  <si>
    <t>0.4444444444444444</t>
  </si>
  <si>
    <t>0.08540372670807453</t>
  </si>
  <si>
    <t>0.1392904073587385</t>
  </si>
  <si>
    <t>0.021367521367521368</t>
  </si>
  <si>
    <t>2464.28</t>
  </si>
  <si>
    <t>0.01060070671378092</t>
  </si>
  <si>
    <t>0.06349206349206349</t>
  </si>
  <si>
    <t>0.05069124423963134</t>
  </si>
  <si>
    <t>0.148</t>
  </si>
  <si>
    <t>0.10218978102189781</t>
  </si>
  <si>
    <t>0.2569832402234637</t>
  </si>
  <si>
    <t>0.25925925925925924</t>
  </si>
  <si>
    <t>0.06060606060606061</t>
  </si>
  <si>
    <t>0.04794520547945205</t>
  </si>
  <si>
    <t>0.009523809523809525</t>
  </si>
  <si>
    <t>0.015873015873015872</t>
  </si>
  <si>
    <t>0.3155893536121673</t>
  </si>
  <si>
    <t>0.32608695652173914</t>
  </si>
  <si>
    <t>0.016216216216216217</t>
  </si>
  <si>
    <t>0.15436241610738255</t>
  </si>
  <si>
    <t>2353.84</t>
  </si>
  <si>
    <t>0.14556962025316456</t>
  </si>
  <si>
    <t>136.36</t>
  </si>
  <si>
    <t>0.046296296296296294</t>
  </si>
  <si>
    <t>0.009009009009009009</t>
  </si>
  <si>
    <t>0.033426183844011144</t>
  </si>
  <si>
    <t>8296.14</t>
  </si>
  <si>
    <t>0.014024152707440592</t>
  </si>
  <si>
    <t>0.0078125</t>
  </si>
  <si>
    <t>0.6666666666666666</t>
  </si>
  <si>
    <t>0.0375</t>
  </si>
  <si>
    <t>0.0481283422459893</t>
  </si>
  <si>
    <t>0.004347826086956522</t>
  </si>
  <si>
    <t>0.006369426751592357</t>
  </si>
  <si>
    <t>0.12053571428571429</t>
  </si>
  <si>
    <t>6461.6</t>
  </si>
  <si>
    <t>0.13186813186813187</t>
  </si>
  <si>
    <t>0.03636363636363636</t>
  </si>
  <si>
    <t>0.0180623973727422</t>
  </si>
  <si>
    <t>0.009345794392523364</t>
  </si>
  <si>
    <t>0.014423076923076924</t>
  </si>
  <si>
    <t>0.013029315960912053</t>
  </si>
  <si>
    <t>0.10714285714285714</t>
  </si>
  <si>
    <t>2152.8</t>
  </si>
  <si>
    <t>0.03816793893129771</t>
  </si>
  <si>
    <t>0.05</t>
  </si>
  <si>
    <t>169.5</t>
  </si>
  <si>
    <t>115.38</t>
  </si>
  <si>
    <t>0.05813953488372093</t>
  </si>
  <si>
    <t>0.10112359550561797</t>
  </si>
  <si>
    <t>0.15853658536585366</t>
  </si>
  <si>
    <t>3362.83</t>
  </si>
  <si>
    <t>0.2</t>
  </si>
  <si>
    <t>0.075</t>
  </si>
  <si>
    <t>1789.44</t>
  </si>
  <si>
    <t>0.030303030303030304</t>
  </si>
  <si>
    <t>24628.16</t>
  </si>
  <si>
    <t>0.32967032967032966</t>
  </si>
  <si>
    <t>0.18333333333333332</t>
  </si>
  <si>
    <t>0.1506849315068493</t>
  </si>
  <si>
    <t>0.04</t>
  </si>
  <si>
    <t>0.0625</t>
  </si>
  <si>
    <t>0.010416666666666666</t>
  </si>
  <si>
    <t>0.017341040462427744</t>
  </si>
  <si>
    <t>0.01834862385321101</t>
  </si>
  <si>
    <t>0.019230769230769232</t>
  </si>
  <si>
    <t>0.02531645569620253</t>
  </si>
  <si>
    <t>0.018518518518518517</t>
  </si>
  <si>
    <t>0.02</t>
  </si>
  <si>
    <t>0.26666666666666666</t>
  </si>
  <si>
    <t>0.13043478260869565</t>
  </si>
  <si>
    <t>0.14035087719298245</t>
  </si>
  <si>
    <t>0.1827956989247312</t>
  </si>
  <si>
    <t>0.02127659574468085</t>
  </si>
  <si>
    <t>0.026785714285714284</t>
  </si>
  <si>
    <t>0.046511627906976744</t>
  </si>
  <si>
    <t>0.037037037037037035</t>
  </si>
  <si>
    <t>0.02564102564102564</t>
  </si>
  <si>
    <t>0.05128205128205128</t>
  </si>
  <si>
    <t>0.14285714285714285</t>
  </si>
  <si>
    <t>0.0970873786407767</t>
  </si>
  <si>
    <t>0.21621621621621623</t>
  </si>
  <si>
    <t>0.16326530612244897</t>
  </si>
  <si>
    <t>0.55</t>
  </si>
  <si>
    <t>0.6</t>
  </si>
  <si>
    <t>0.007874015748031496</t>
  </si>
  <si>
    <t>0.16279069767441862</t>
  </si>
  <si>
    <t>0.12048192771084337</t>
  </si>
  <si>
    <t>0.1</t>
  </si>
  <si>
    <t>0.22727272727272727</t>
  </si>
  <si>
    <t>0.023255813953488372</t>
  </si>
  <si>
    <t>0.03389830508474576</t>
  </si>
  <si>
    <t>0.38235294117647056</t>
  </si>
  <si>
    <t>3847.83</t>
  </si>
  <si>
    <t>0.3220338983050847</t>
  </si>
  <si>
    <t>0.5294117647058824</t>
  </si>
  <si>
    <t>0.45161290322580644</t>
  </si>
  <si>
    <t>0.009708737864077669</t>
  </si>
  <si>
    <t>0.008547008547008548</t>
  </si>
  <si>
    <t>0.008130081300813009</t>
  </si>
  <si>
    <t>0.044444444444444446</t>
  </si>
  <si>
    <t>0.10204081632653061</t>
  </si>
  <si>
    <t>0.039473684210526314</t>
  </si>
  <si>
    <t>0.07142857142857142</t>
  </si>
  <si>
    <t>0.014285714285714285</t>
  </si>
  <si>
    <t>0.031914893617021274</t>
  </si>
  <si>
    <t>0.04054054054054054</t>
  </si>
  <si>
    <t>0.08333333333333333</t>
  </si>
  <si>
    <t>0.15178571428571427</t>
  </si>
  <si>
    <t>0.06593406593406594</t>
  </si>
  <si>
    <t>0.2289156626506024</t>
  </si>
  <si>
    <t>0.04285714285714286</t>
  </si>
  <si>
    <t>0.0989010989010989</t>
  </si>
  <si>
    <t>714.3000000000001</t>
  </si>
  <si>
    <t>0.16666666666666666</t>
  </si>
  <si>
    <t>0.010869565217391304</t>
  </si>
  <si>
    <t>0.045454545454545456</t>
  </si>
  <si>
    <t>0.09615384615384616</t>
  </si>
  <si>
    <t>0.15151515151515152</t>
  </si>
  <si>
    <t>0.02631578947368421</t>
  </si>
  <si>
    <t>0.6206896551724138</t>
  </si>
  <si>
    <t>191.3</t>
  </si>
  <si>
    <t>0.05405405405405406</t>
  </si>
  <si>
    <t>0.020833333333333332</t>
  </si>
  <si>
    <t>0.04878048780487805</t>
  </si>
  <si>
    <t>0.06756756756756757</t>
  </si>
  <si>
    <t>0.025906735751295335</t>
  </si>
  <si>
    <t>0.01694915254237288</t>
  </si>
  <si>
    <t>0.1111111111111111</t>
  </si>
  <si>
    <t>0.017857142857142856</t>
  </si>
  <si>
    <t>0.22448979591836735</t>
  </si>
  <si>
    <t>0.19318181818181818</t>
  </si>
  <si>
    <t>0.5555555555555556</t>
  </si>
  <si>
    <t>0.03508771929824561</t>
  </si>
  <si>
    <t>0.09090909090909091</t>
  </si>
  <si>
    <t>0.041666666666666664</t>
  </si>
  <si>
    <t>0.4</t>
  </si>
  <si>
    <t>0.45</t>
  </si>
  <si>
    <t>0.375</t>
  </si>
  <si>
    <t>0.5</t>
  </si>
  <si>
    <t>0.017241379310344827</t>
  </si>
  <si>
    <t>0.028872848417545807</t>
  </si>
  <si>
    <t>hamleys r100 voucher</t>
  </si>
  <si>
    <t>build a bear r100 voucher</t>
  </si>
  <si>
    <t>r100 hamleys voucher</t>
  </si>
  <si>
    <t>hamleys r200 voucher</t>
  </si>
  <si>
    <t>r100 build a bear voucher</t>
  </si>
  <si>
    <t>build a bear r200 voucher</t>
  </si>
  <si>
    <t>hamleys r400 voucher</t>
  </si>
  <si>
    <t>build a bear r300 voucher</t>
  </si>
  <si>
    <t>hamleys r300 voucher</t>
  </si>
  <si>
    <t>build a bear r400 voucher</t>
  </si>
  <si>
    <t>r200 hamleys voucher</t>
  </si>
  <si>
    <t>r300 hamleys voucher</t>
  </si>
  <si>
    <t>r400 hamleys voucher</t>
  </si>
  <si>
    <t>r300 build a bear voucher</t>
  </si>
  <si>
    <t>r200 build a bear voucher</t>
  </si>
  <si>
    <t>r400 build a bear voucher</t>
  </si>
  <si>
    <t>r100 shell voucher</t>
  </si>
  <si>
    <t>r1000 avis voucher</t>
  </si>
  <si>
    <t>0.016483516483516484</t>
  </si>
  <si>
    <t>0.3492908779868661</t>
  </si>
  <si>
    <t>0.38817654204346064</t>
  </si>
  <si>
    <t>0.4155851613644194</t>
  </si>
  <si>
    <t>0.208955223880597</t>
  </si>
  <si>
    <t>0.14160743575724438</t>
  </si>
  <si>
    <t>0.41688311688311686</t>
  </si>
  <si>
    <t>0.20330514988470408</t>
  </si>
  <si>
    <t>0.21090281203749384</t>
  </si>
  <si>
    <t>0.08006887645286268</t>
  </si>
  <si>
    <t>0.07169962053125624</t>
  </si>
  <si>
    <t>0.27640061745210204</t>
  </si>
  <si>
    <t>0.2559366754617414</t>
  </si>
  <si>
    <t>burger king r75 vpay</t>
  </si>
  <si>
    <t>0.21074192080109239</t>
  </si>
  <si>
    <t>0.23824451410658307</t>
  </si>
  <si>
    <t>0.1944055944055944</t>
  </si>
  <si>
    <t>0.20079410096426545</t>
  </si>
  <si>
    <t>0.19393939393939394</t>
  </si>
  <si>
    <t>0.2979591836734694</t>
  </si>
  <si>
    <t>0.24606299212598426</t>
  </si>
  <si>
    <t>0.388086642599278</t>
  </si>
  <si>
    <t>0.1951219512195122</t>
  </si>
  <si>
    <t>0.28444444444444444</t>
  </si>
  <si>
    <t>0.27461139896373055</t>
  </si>
  <si>
    <t>0.31448763250883394</t>
  </si>
  <si>
    <t>0.2441860465116279</t>
  </si>
  <si>
    <t>0.2972972972972973</t>
  </si>
  <si>
    <t>0.08888888888888889</t>
  </si>
  <si>
    <t>0.022222222222222223</t>
  </si>
  <si>
    <t>clicks_current</t>
  </si>
  <si>
    <t>clicks_previous</t>
  </si>
  <si>
    <t>sessions_d0_current</t>
  </si>
  <si>
    <t>sessions_d0_previous</t>
  </si>
  <si>
    <t>installs_current</t>
  </si>
  <si>
    <t>installs_previous</t>
  </si>
  <si>
    <t>buy now success_events_current</t>
  </si>
  <si>
    <t>buy now success_events_previous</t>
  </si>
  <si>
    <t>advance success_events_current</t>
  </si>
  <si>
    <t>advance success_events_previous</t>
  </si>
  <si>
    <t>Vouchers Dynamic Pricing</t>
  </si>
  <si>
    <t>Vouchers receipt tracking | Intercape Official</t>
  </si>
  <si>
    <t>VodaPay Club Channel Testing</t>
  </si>
  <si>
    <t>TikTok for Business</t>
  </si>
  <si>
    <t>ZA_26_AO_FIN_PAY_X_P_VP_00_005-26-372_VodaPay Club - Channel Test - FY26 – Q4 - TikTok - Auction - Purchases</t>
  </si>
  <si>
    <t>ZA_26_AO_FIN_PAY_X_P_VP_00_005-26-372_VodaPay Club - Channel Test - FY26 – Q4 - TikTok - Auction - Subscription</t>
  </si>
  <si>
    <t>MVA Interstitial</t>
  </si>
  <si>
    <t>VP Vouchers | BK Flash Sale | 20% deal</t>
  </si>
  <si>
    <t>Betway Bucks Vouchers Awareness</t>
  </si>
  <si>
    <t>Partner Newsletter | Panarottis</t>
  </si>
  <si>
    <t>VP Vouchers | Panarottis | AO</t>
  </si>
  <si>
    <t>VP Vouchers | LIFT | AO</t>
  </si>
  <si>
    <t>CBU Email Marketing</t>
  </si>
  <si>
    <t>VP Vouchers | BP AO</t>
  </si>
  <si>
    <t>Facebook</t>
  </si>
  <si>
    <t>ZA_27_AO_FIN_PAY_X_P_VP_00_016-27-372_VodaPay Club Subscription Test - FY27 - Q1 - Telco - Facebook - Auction – Conversion</t>
  </si>
  <si>
    <t>Voucher Advance</t>
  </si>
  <si>
    <t>Daily Unlock | Summer</t>
  </si>
  <si>
    <t>Vouchers | BP AO| Summer</t>
  </si>
  <si>
    <t>Vouchers | Legit AO| Summer</t>
  </si>
  <si>
    <t>Facebook Web</t>
  </si>
  <si>
    <t>VP Vouchers I Food | Enhance</t>
  </si>
  <si>
    <t>My Vodacom App Campaigns</t>
  </si>
  <si>
    <t>Valentine's Month | Vouchers</t>
  </si>
  <si>
    <t>ZA_25_AO_FIN_PAY_X_P_VP_00_035-25-372_VodaPay - Always On - FY25 - H2 - Vouchers - Auction - App Installs</t>
  </si>
  <si>
    <t>Vouchers Buy Now</t>
  </si>
  <si>
    <t>VP Vouchers | Intercape | 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</si>
</sst>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8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616E96-CF96-4201-AFB7-B411817080EC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E059-B0A7-4674-B966-189ED1949684}">
  <dimension ref="A1:G11"/>
  <sheetViews>
    <sheetView workbookViewId="0">
      <selection activeCell="F10" sqref="F10"/>
    </sheetView>
  </sheetViews>
  <sheetFormatPr defaultRowHeight="14.5" x14ac:dyDescent="0.35"/>
  <cols>
    <col min="1" max="1" width="11.54296875" bestFit="1" customWidth="1"/>
    <col min="2" max="3" width="6.81640625" bestFit="1" customWidth="1"/>
    <col min="4" max="4" width="14.08984375" bestFit="1" customWidth="1"/>
    <col min="5" max="5" width="12.1796875" bestFit="1" customWidth="1"/>
    <col min="6" max="6" width="12.90625" style="2" bestFit="1" customWidth="1"/>
    <col min="7" max="7" width="13.26953125" style="2" bestFit="1" customWidth="1"/>
    <col min="8" max="8" width="10.36328125" bestFit="1" customWidth="1"/>
  </cols>
  <sheetData>
    <row r="1" spans="1:6" x14ac:dyDescent="0.35">
      <c r="A1" t="s">
        <v>4</v>
      </c>
      <c r="B1" t="s">
        <v>2</v>
      </c>
      <c r="C1" t="s">
        <v>5</v>
      </c>
      <c r="D1" t="s">
        <v>6</v>
      </c>
      <c r="E1" t="s">
        <v>3</v>
      </c>
    </row>
    <row r="2" spans="1:6" x14ac:dyDescent="0.35">
      <c r="A2" t="s">
        <v>0</v>
      </c>
      <c r="B2">
        <v>421566</v>
      </c>
      <c r="C2">
        <v>26615</v>
      </c>
      <c r="D2" s="3">
        <f>C2/B2</f>
        <v>6.31336492980933E-2</v>
      </c>
      <c r="E2" s="2">
        <v>5975283.1500000004</v>
      </c>
    </row>
    <row r="3" spans="1:6" x14ac:dyDescent="0.35">
      <c r="A3" t="s">
        <v>1</v>
      </c>
      <c r="B3">
        <v>463662</v>
      </c>
      <c r="C3">
        <v>59207</v>
      </c>
      <c r="D3" s="3">
        <f>C3/B3</f>
        <v>0.12769431180471982</v>
      </c>
      <c r="E3" s="2">
        <v>9397675.1699999999</v>
      </c>
    </row>
    <row r="5" spans="1:6" x14ac:dyDescent="0.35">
      <c r="B5" s="1">
        <f>(B2-B3)/B3</f>
        <v>-9.079027394955809E-2</v>
      </c>
      <c r="C5" s="1">
        <f t="shared" ref="C5:E5" si="0">(C2-C3)/C3</f>
        <v>-0.55047545053794311</v>
      </c>
      <c r="D5" s="4">
        <f>D2-D3</f>
        <v>-6.4560662506626523E-2</v>
      </c>
      <c r="E5" s="1">
        <f t="shared" si="0"/>
        <v>-0.36417432589341131</v>
      </c>
      <c r="F5" s="2">
        <f>E2-E3</f>
        <v>-3422392.0199999996</v>
      </c>
    </row>
    <row r="9" spans="1:6" x14ac:dyDescent="0.35">
      <c r="E9" s="2"/>
    </row>
    <row r="10" spans="1:6" x14ac:dyDescent="0.35">
      <c r="E10" s="2"/>
    </row>
    <row r="11" spans="1:6" x14ac:dyDescent="0.35">
      <c r="E11" s="2"/>
    </row>
  </sheetData>
  <pageMargins left="0.7" right="0.7" top="0.75" bottom="0.75" header="0.3" footer="0.3"/>
  <headerFooter>
    <oddFooter>&amp;L_x000D_&amp;1#&amp;"Aptos"&amp;7&amp;K000000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4937-EA03-48F2-A40A-C86CE3C6961F}">
  <dimension ref="A1:H11"/>
  <sheetViews>
    <sheetView workbookViewId="0">
      <selection activeCell="B11" sqref="B11"/>
    </sheetView>
  </sheetViews>
  <sheetFormatPr defaultRowHeight="14.5" x14ac:dyDescent="0.35"/>
  <cols>
    <col min="1" max="1" width="53.08984375" customWidth="1"/>
    <col min="2" max="2" width="9.7265625" bestFit="1" customWidth="1"/>
    <col min="3" max="3" width="11.54296875" bestFit="1" customWidth="1"/>
    <col min="4" max="4" width="20.26953125" bestFit="1" customWidth="1"/>
    <col min="5" max="5" width="18.7265625" bestFit="1" customWidth="1"/>
  </cols>
  <sheetData>
    <row r="1" spans="1:8" x14ac:dyDescent="0.35">
      <c r="A1" t="s">
        <v>13</v>
      </c>
      <c r="B1" t="s">
        <v>14</v>
      </c>
      <c r="C1" t="s">
        <v>15</v>
      </c>
      <c r="D1" t="s">
        <v>17</v>
      </c>
      <c r="E1" t="s">
        <v>18</v>
      </c>
      <c r="F1" t="s">
        <v>16</v>
      </c>
    </row>
    <row r="2" spans="1:8" x14ac:dyDescent="0.35">
      <c r="A2" t="s">
        <v>7</v>
      </c>
      <c r="B2">
        <v>263662</v>
      </c>
      <c r="C2">
        <v>296469</v>
      </c>
      <c r="D2" s="1">
        <f>B3/B2</f>
        <v>0.57419726771396717</v>
      </c>
      <c r="E2" s="1">
        <f>C3/C2</f>
        <v>0.70995618428908247</v>
      </c>
      <c r="F2" s="1">
        <f>D2-E2</f>
        <v>-0.1357589165751153</v>
      </c>
    </row>
    <row r="3" spans="1:8" x14ac:dyDescent="0.35">
      <c r="A3" t="s">
        <v>8</v>
      </c>
      <c r="B3">
        <v>151394</v>
      </c>
      <c r="C3">
        <v>210480</v>
      </c>
      <c r="D3" s="1">
        <f t="shared" ref="D3:E7" si="0">B4/B3</f>
        <v>0.55920313882980832</v>
      </c>
      <c r="E3" s="1">
        <f t="shared" si="0"/>
        <v>0.62873432155074116</v>
      </c>
      <c r="F3" s="1">
        <f t="shared" ref="F3:F7" si="1">D3-E3</f>
        <v>-6.9531182720932838E-2</v>
      </c>
    </row>
    <row r="4" spans="1:8" x14ac:dyDescent="0.35">
      <c r="A4" t="s">
        <v>9</v>
      </c>
      <c r="B4">
        <v>84660</v>
      </c>
      <c r="C4">
        <v>132336</v>
      </c>
      <c r="D4" s="1">
        <f t="shared" si="0"/>
        <v>1.4596621781242618</v>
      </c>
      <c r="E4" s="1">
        <f t="shared" si="0"/>
        <v>1.3390838471768831</v>
      </c>
      <c r="F4" s="1">
        <f t="shared" si="1"/>
        <v>0.12057833094737869</v>
      </c>
    </row>
    <row r="5" spans="1:8" x14ac:dyDescent="0.35">
      <c r="A5" t="s">
        <v>10</v>
      </c>
      <c r="B5">
        <v>123575</v>
      </c>
      <c r="C5">
        <v>177209</v>
      </c>
      <c r="D5" s="1">
        <f t="shared" si="0"/>
        <v>0.31142221323083147</v>
      </c>
      <c r="E5" s="1">
        <f t="shared" si="0"/>
        <v>0.50267762924004988</v>
      </c>
      <c r="F5" s="1">
        <f t="shared" si="1"/>
        <v>-0.19125541600921842</v>
      </c>
    </row>
    <row r="6" spans="1:8" x14ac:dyDescent="0.35">
      <c r="A6" t="s">
        <v>11</v>
      </c>
      <c r="B6">
        <v>38484</v>
      </c>
      <c r="C6">
        <v>89079</v>
      </c>
      <c r="D6" s="1">
        <f t="shared" si="0"/>
        <v>0.66656272736721756</v>
      </c>
      <c r="E6" s="1">
        <f t="shared" si="0"/>
        <v>0.64575264652723985</v>
      </c>
      <c r="F6" s="1">
        <f t="shared" si="1"/>
        <v>2.0810080839977707E-2</v>
      </c>
    </row>
    <row r="7" spans="1:8" x14ac:dyDescent="0.35">
      <c r="A7" t="s">
        <v>12</v>
      </c>
      <c r="B7">
        <v>25652</v>
      </c>
      <c r="C7">
        <v>57523</v>
      </c>
      <c r="D7" s="1">
        <f t="shared" si="0"/>
        <v>0</v>
      </c>
      <c r="E7" s="1">
        <f t="shared" si="0"/>
        <v>0</v>
      </c>
      <c r="F7" s="1">
        <f t="shared" si="1"/>
        <v>0</v>
      </c>
      <c r="H7" s="3"/>
    </row>
    <row r="8" spans="1:8" x14ac:dyDescent="0.35">
      <c r="D8" s="1"/>
      <c r="F8" s="1"/>
    </row>
    <row r="9" spans="1:8" x14ac:dyDescent="0.35">
      <c r="A9" t="s">
        <v>266</v>
      </c>
      <c r="B9">
        <v>5408</v>
      </c>
      <c r="C9">
        <v>7233</v>
      </c>
      <c r="D9" s="1">
        <f>B10/B9</f>
        <v>0.76294378698224852</v>
      </c>
      <c r="E9" s="1">
        <f>C10/C9</f>
        <v>0.76856076316880961</v>
      </c>
      <c r="F9" s="1">
        <f t="shared" ref="F9:F11" si="2">D9-E9</f>
        <v>-5.6169761865610957E-3</v>
      </c>
    </row>
    <row r="10" spans="1:8" x14ac:dyDescent="0.35">
      <c r="A10" t="s">
        <v>267</v>
      </c>
      <c r="B10">
        <v>4126</v>
      </c>
      <c r="C10">
        <v>5559</v>
      </c>
      <c r="D10" s="1">
        <f t="shared" ref="D10:D11" si="3">B11/B10</f>
        <v>0.2333979641299079</v>
      </c>
      <c r="E10" s="1">
        <f t="shared" ref="E10:E11" si="4">C11/C10</f>
        <v>0.30293218204713079</v>
      </c>
      <c r="F10" s="1">
        <f t="shared" si="2"/>
        <v>-6.953421791722289E-2</v>
      </c>
    </row>
    <row r="11" spans="1:8" x14ac:dyDescent="0.35">
      <c r="A11" t="s">
        <v>268</v>
      </c>
      <c r="B11">
        <v>963</v>
      </c>
      <c r="C11">
        <v>1684</v>
      </c>
      <c r="D11" s="1">
        <f t="shared" si="3"/>
        <v>0</v>
      </c>
      <c r="E11" s="1">
        <f t="shared" si="4"/>
        <v>0</v>
      </c>
      <c r="F11" s="1">
        <f t="shared" si="2"/>
        <v>0</v>
      </c>
      <c r="H11" s="3"/>
    </row>
  </sheetData>
  <pageMargins left="0.7" right="0.7" top="0.75" bottom="0.75" header="0.3" footer="0.3"/>
  <headerFooter>
    <oddFooter>&amp;L_x000D_&amp;1#&amp;"Aptos"&amp;7&amp;K000000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2935-22B6-4AF1-83C8-07B3C005E6F7}">
  <dimension ref="A1:M302"/>
  <sheetViews>
    <sheetView workbookViewId="0">
      <selection activeCell="E12" sqref="E12"/>
    </sheetView>
  </sheetViews>
  <sheetFormatPr defaultRowHeight="14.5" x14ac:dyDescent="0.35"/>
  <cols>
    <col min="1" max="1" width="31.90625" bestFit="1" customWidth="1"/>
    <col min="2" max="3" width="12.26953125" customWidth="1"/>
    <col min="4" max="4" width="29.08984375" bestFit="1" customWidth="1"/>
    <col min="5" max="5" width="21.6328125" style="1" customWidth="1"/>
    <col min="6" max="6" width="5.81640625" customWidth="1"/>
    <col min="7" max="7" width="18.54296875" style="2" customWidth="1"/>
    <col min="8" max="9" width="12.26953125" customWidth="1"/>
    <col min="10" max="10" width="29.08984375" bestFit="1" customWidth="1"/>
    <col min="11" max="11" width="21.6328125" style="1" hidden="1" customWidth="1"/>
    <col min="12" max="12" width="5.81640625" hidden="1" customWidth="1"/>
    <col min="13" max="13" width="18.54296875" hidden="1" customWidth="1"/>
  </cols>
  <sheetData>
    <row r="1" spans="1:13" x14ac:dyDescent="0.35">
      <c r="B1" s="5" t="s">
        <v>0</v>
      </c>
      <c r="C1" s="5"/>
      <c r="D1" s="5"/>
      <c r="E1" s="5"/>
      <c r="F1" s="5"/>
      <c r="G1" s="5"/>
      <c r="H1" s="5" t="s">
        <v>1</v>
      </c>
      <c r="I1" s="5"/>
      <c r="J1" s="5"/>
      <c r="K1" s="5"/>
      <c r="L1" s="5"/>
      <c r="M1" s="5"/>
    </row>
    <row r="2" spans="1:13" x14ac:dyDescent="0.35">
      <c r="A2" t="s">
        <v>19</v>
      </c>
      <c r="B2" t="s">
        <v>20</v>
      </c>
      <c r="C2" t="s">
        <v>21</v>
      </c>
      <c r="D2" t="s">
        <v>294</v>
      </c>
      <c r="E2" t="s">
        <v>403</v>
      </c>
      <c r="F2" t="s">
        <v>295</v>
      </c>
      <c r="G2" t="s">
        <v>3</v>
      </c>
      <c r="H2" t="s">
        <v>20</v>
      </c>
      <c r="I2" t="s">
        <v>21</v>
      </c>
      <c r="J2" t="s">
        <v>294</v>
      </c>
      <c r="K2" t="s">
        <v>403</v>
      </c>
      <c r="L2" t="s">
        <v>295</v>
      </c>
      <c r="M2" t="s">
        <v>3</v>
      </c>
    </row>
    <row r="3" spans="1:13" x14ac:dyDescent="0.35">
      <c r="A3" t="s">
        <v>31</v>
      </c>
      <c r="B3">
        <v>131313</v>
      </c>
      <c r="C3">
        <v>56306</v>
      </c>
      <c r="D3">
        <v>8708</v>
      </c>
      <c r="E3" t="s">
        <v>404</v>
      </c>
      <c r="F3">
        <v>8902</v>
      </c>
      <c r="G3">
        <v>222550</v>
      </c>
      <c r="H3">
        <v>112135</v>
      </c>
      <c r="I3">
        <v>38391</v>
      </c>
      <c r="J3">
        <v>6252</v>
      </c>
      <c r="K3" t="s">
        <v>405</v>
      </c>
      <c r="L3">
        <v>6373</v>
      </c>
      <c r="M3">
        <v>159325</v>
      </c>
    </row>
    <row r="4" spans="1:13" x14ac:dyDescent="0.35">
      <c r="A4" t="s">
        <v>32</v>
      </c>
      <c r="B4">
        <v>130451</v>
      </c>
      <c r="C4">
        <v>15728</v>
      </c>
      <c r="D4">
        <v>4675</v>
      </c>
      <c r="E4" t="s">
        <v>406</v>
      </c>
      <c r="F4">
        <v>4760</v>
      </c>
      <c r="G4">
        <v>238000</v>
      </c>
      <c r="H4">
        <v>107934</v>
      </c>
      <c r="I4">
        <v>11684</v>
      </c>
      <c r="J4">
        <v>3960</v>
      </c>
      <c r="K4" t="s">
        <v>407</v>
      </c>
      <c r="L4">
        <v>4043</v>
      </c>
      <c r="M4">
        <v>202150</v>
      </c>
    </row>
    <row r="5" spans="1:13" x14ac:dyDescent="0.35">
      <c r="A5" t="s">
        <v>33</v>
      </c>
      <c r="B5">
        <v>129574</v>
      </c>
      <c r="C5">
        <v>4000</v>
      </c>
      <c r="D5">
        <v>1236</v>
      </c>
      <c r="E5" t="s">
        <v>408</v>
      </c>
      <c r="F5">
        <v>1265</v>
      </c>
      <c r="G5">
        <v>94875</v>
      </c>
      <c r="H5">
        <v>106384</v>
      </c>
      <c r="I5">
        <v>3188</v>
      </c>
      <c r="J5">
        <v>1058</v>
      </c>
      <c r="K5" t="s">
        <v>409</v>
      </c>
      <c r="L5">
        <v>1060</v>
      </c>
      <c r="M5">
        <v>79500</v>
      </c>
    </row>
    <row r="6" spans="1:13" x14ac:dyDescent="0.35">
      <c r="A6" t="s">
        <v>34</v>
      </c>
      <c r="B6">
        <v>129406</v>
      </c>
      <c r="C6">
        <v>8549</v>
      </c>
      <c r="D6">
        <v>2873</v>
      </c>
      <c r="E6" t="s">
        <v>410</v>
      </c>
      <c r="F6">
        <v>3331</v>
      </c>
      <c r="G6">
        <v>333100</v>
      </c>
      <c r="H6">
        <v>106309</v>
      </c>
      <c r="I6">
        <v>7021</v>
      </c>
      <c r="J6">
        <v>2723</v>
      </c>
      <c r="K6" t="s">
        <v>411</v>
      </c>
      <c r="L6">
        <v>3107</v>
      </c>
      <c r="M6">
        <v>310700</v>
      </c>
    </row>
    <row r="7" spans="1:13" x14ac:dyDescent="0.35">
      <c r="A7" t="s">
        <v>35</v>
      </c>
      <c r="B7">
        <v>129388</v>
      </c>
      <c r="C7">
        <v>3766</v>
      </c>
      <c r="D7">
        <v>1232</v>
      </c>
      <c r="E7" t="s">
        <v>412</v>
      </c>
      <c r="F7">
        <v>1334</v>
      </c>
      <c r="G7">
        <v>200100</v>
      </c>
      <c r="H7">
        <v>106176</v>
      </c>
      <c r="I7">
        <v>3326</v>
      </c>
      <c r="J7">
        <v>1263</v>
      </c>
      <c r="K7" t="s">
        <v>413</v>
      </c>
      <c r="L7">
        <v>1347</v>
      </c>
      <c r="M7">
        <v>202050</v>
      </c>
    </row>
    <row r="8" spans="1:13" x14ac:dyDescent="0.35">
      <c r="A8" t="s">
        <v>36</v>
      </c>
      <c r="B8">
        <v>129328</v>
      </c>
      <c r="C8">
        <v>17387</v>
      </c>
      <c r="D8">
        <v>2722</v>
      </c>
      <c r="E8" t="s">
        <v>414</v>
      </c>
      <c r="F8">
        <v>5637</v>
      </c>
      <c r="G8">
        <v>1691100</v>
      </c>
      <c r="H8">
        <v>106139</v>
      </c>
      <c r="I8">
        <v>22172</v>
      </c>
      <c r="J8">
        <v>5068</v>
      </c>
      <c r="K8" t="s">
        <v>415</v>
      </c>
      <c r="L8">
        <v>10394</v>
      </c>
      <c r="M8">
        <v>3118200</v>
      </c>
    </row>
    <row r="9" spans="1:13" x14ac:dyDescent="0.35">
      <c r="A9" t="s">
        <v>297</v>
      </c>
      <c r="B9">
        <v>79164</v>
      </c>
      <c r="C9">
        <v>5840</v>
      </c>
      <c r="D9">
        <v>172</v>
      </c>
      <c r="E9" t="s">
        <v>416</v>
      </c>
      <c r="F9">
        <v>174</v>
      </c>
      <c r="G9" t="s">
        <v>417</v>
      </c>
      <c r="H9">
        <v>22166</v>
      </c>
      <c r="I9">
        <v>1308</v>
      </c>
      <c r="J9">
        <v>43</v>
      </c>
      <c r="K9" t="s">
        <v>418</v>
      </c>
      <c r="L9">
        <v>43</v>
      </c>
      <c r="M9" t="s">
        <v>298</v>
      </c>
    </row>
    <row r="10" spans="1:13" x14ac:dyDescent="0.35">
      <c r="A10" t="s">
        <v>41</v>
      </c>
      <c r="B10">
        <v>39386</v>
      </c>
      <c r="C10">
        <v>240</v>
      </c>
      <c r="D10">
        <v>33</v>
      </c>
      <c r="E10" t="s">
        <v>419</v>
      </c>
      <c r="F10">
        <v>35</v>
      </c>
      <c r="G10">
        <v>1750</v>
      </c>
      <c r="H10">
        <v>33900</v>
      </c>
      <c r="I10">
        <v>166</v>
      </c>
      <c r="J10">
        <v>25</v>
      </c>
      <c r="K10" t="s">
        <v>420</v>
      </c>
      <c r="L10">
        <v>25</v>
      </c>
      <c r="M10">
        <v>1250</v>
      </c>
    </row>
    <row r="11" spans="1:13" x14ac:dyDescent="0.35">
      <c r="A11" t="s">
        <v>45</v>
      </c>
      <c r="B11">
        <v>39100</v>
      </c>
      <c r="C11">
        <v>116</v>
      </c>
      <c r="D11">
        <v>33</v>
      </c>
      <c r="E11" t="s">
        <v>421</v>
      </c>
      <c r="F11">
        <v>36</v>
      </c>
      <c r="G11">
        <v>2700</v>
      </c>
      <c r="H11">
        <v>33594</v>
      </c>
      <c r="I11">
        <v>88</v>
      </c>
      <c r="J11">
        <v>32</v>
      </c>
      <c r="K11" t="s">
        <v>422</v>
      </c>
      <c r="L11">
        <v>32</v>
      </c>
      <c r="M11">
        <v>2400</v>
      </c>
    </row>
    <row r="12" spans="1:13" x14ac:dyDescent="0.35">
      <c r="A12" t="s">
        <v>48</v>
      </c>
      <c r="B12">
        <v>39065</v>
      </c>
      <c r="C12">
        <v>374</v>
      </c>
      <c r="D12">
        <v>91</v>
      </c>
      <c r="E12" t="s">
        <v>423</v>
      </c>
      <c r="F12">
        <v>99</v>
      </c>
      <c r="G12">
        <v>14850</v>
      </c>
      <c r="H12">
        <v>33491</v>
      </c>
      <c r="I12">
        <v>255</v>
      </c>
      <c r="J12">
        <v>83</v>
      </c>
      <c r="K12" t="s">
        <v>424</v>
      </c>
      <c r="L12">
        <v>93</v>
      </c>
      <c r="M12">
        <v>13950</v>
      </c>
    </row>
    <row r="13" spans="1:13" x14ac:dyDescent="0.35">
      <c r="A13" t="s">
        <v>44</v>
      </c>
      <c r="B13">
        <v>38533</v>
      </c>
      <c r="C13">
        <v>358</v>
      </c>
      <c r="D13">
        <v>8</v>
      </c>
      <c r="E13" t="s">
        <v>425</v>
      </c>
      <c r="F13">
        <v>8</v>
      </c>
      <c r="G13">
        <v>600</v>
      </c>
      <c r="H13">
        <v>33263</v>
      </c>
      <c r="I13">
        <v>255</v>
      </c>
      <c r="J13">
        <v>26</v>
      </c>
      <c r="K13" t="s">
        <v>426</v>
      </c>
      <c r="L13">
        <v>26</v>
      </c>
      <c r="M13">
        <v>1950</v>
      </c>
    </row>
    <row r="14" spans="1:13" x14ac:dyDescent="0.35">
      <c r="A14" t="s">
        <v>50</v>
      </c>
      <c r="B14">
        <v>38361</v>
      </c>
      <c r="C14">
        <v>157</v>
      </c>
      <c r="D14">
        <v>13</v>
      </c>
      <c r="E14" t="s">
        <v>427</v>
      </c>
      <c r="F14">
        <v>14</v>
      </c>
      <c r="G14">
        <v>2100</v>
      </c>
      <c r="H14">
        <v>33052</v>
      </c>
      <c r="I14">
        <v>85</v>
      </c>
      <c r="J14">
        <v>19</v>
      </c>
      <c r="K14" t="s">
        <v>428</v>
      </c>
      <c r="L14">
        <v>23</v>
      </c>
      <c r="M14">
        <v>3450</v>
      </c>
    </row>
    <row r="15" spans="1:13" x14ac:dyDescent="0.35">
      <c r="A15" t="s">
        <v>51</v>
      </c>
      <c r="B15">
        <v>38315</v>
      </c>
      <c r="C15">
        <v>227</v>
      </c>
      <c r="D15">
        <v>21</v>
      </c>
      <c r="E15" t="s">
        <v>429</v>
      </c>
      <c r="F15">
        <v>22</v>
      </c>
      <c r="G15">
        <v>4400</v>
      </c>
      <c r="H15">
        <v>33036</v>
      </c>
      <c r="I15">
        <v>100</v>
      </c>
      <c r="J15">
        <v>38</v>
      </c>
      <c r="K15" t="s">
        <v>430</v>
      </c>
      <c r="L15">
        <v>41</v>
      </c>
      <c r="M15">
        <v>8200</v>
      </c>
    </row>
    <row r="16" spans="1:13" x14ac:dyDescent="0.35">
      <c r="A16" t="s">
        <v>53</v>
      </c>
      <c r="B16">
        <v>38250</v>
      </c>
      <c r="C16">
        <v>273</v>
      </c>
      <c r="D16">
        <v>19</v>
      </c>
      <c r="E16" t="s">
        <v>431</v>
      </c>
      <c r="F16">
        <v>19</v>
      </c>
      <c r="G16">
        <v>7600</v>
      </c>
      <c r="H16">
        <v>32907</v>
      </c>
      <c r="I16">
        <v>834</v>
      </c>
      <c r="J16">
        <v>155</v>
      </c>
      <c r="K16" t="s">
        <v>432</v>
      </c>
      <c r="L16">
        <v>374</v>
      </c>
      <c r="M16">
        <v>149600</v>
      </c>
    </row>
    <row r="17" spans="1:13" x14ac:dyDescent="0.35">
      <c r="A17" t="s">
        <v>54</v>
      </c>
      <c r="B17">
        <v>38233</v>
      </c>
      <c r="C17">
        <v>3974</v>
      </c>
      <c r="D17">
        <v>491</v>
      </c>
      <c r="E17" t="s">
        <v>433</v>
      </c>
      <c r="F17">
        <v>1248</v>
      </c>
      <c r="G17">
        <v>748800</v>
      </c>
      <c r="H17">
        <v>30427</v>
      </c>
      <c r="I17">
        <v>3317</v>
      </c>
      <c r="J17">
        <v>662</v>
      </c>
      <c r="K17" t="s">
        <v>434</v>
      </c>
      <c r="L17">
        <v>1693</v>
      </c>
      <c r="M17">
        <v>1015800</v>
      </c>
    </row>
    <row r="18" spans="1:13" x14ac:dyDescent="0.35">
      <c r="A18" t="s">
        <v>46</v>
      </c>
      <c r="B18">
        <v>37888</v>
      </c>
      <c r="C18">
        <v>194</v>
      </c>
      <c r="D18">
        <v>55</v>
      </c>
      <c r="E18" t="s">
        <v>435</v>
      </c>
      <c r="F18">
        <v>58</v>
      </c>
      <c r="G18">
        <v>5800</v>
      </c>
      <c r="H18">
        <v>33549</v>
      </c>
      <c r="I18">
        <v>120</v>
      </c>
      <c r="J18">
        <v>46</v>
      </c>
      <c r="K18" t="s">
        <v>436</v>
      </c>
      <c r="L18">
        <v>48</v>
      </c>
      <c r="M18">
        <v>4800</v>
      </c>
    </row>
    <row r="19" spans="1:13" x14ac:dyDescent="0.35">
      <c r="A19" t="s">
        <v>60</v>
      </c>
      <c r="B19">
        <v>22186</v>
      </c>
      <c r="C19">
        <v>248</v>
      </c>
      <c r="D19">
        <v>23</v>
      </c>
      <c r="E19" t="s">
        <v>437</v>
      </c>
      <c r="F19">
        <v>23</v>
      </c>
      <c r="G19">
        <v>1725</v>
      </c>
      <c r="H19">
        <v>17743</v>
      </c>
      <c r="I19">
        <v>128</v>
      </c>
      <c r="J19">
        <v>24</v>
      </c>
      <c r="K19" t="s">
        <v>438</v>
      </c>
      <c r="L19">
        <v>25</v>
      </c>
      <c r="M19">
        <v>1875</v>
      </c>
    </row>
    <row r="20" spans="1:13" x14ac:dyDescent="0.35">
      <c r="A20" t="s">
        <v>63</v>
      </c>
      <c r="B20">
        <v>22022</v>
      </c>
      <c r="C20">
        <v>145</v>
      </c>
      <c r="D20">
        <v>14</v>
      </c>
      <c r="E20" t="s">
        <v>439</v>
      </c>
      <c r="F20">
        <v>16</v>
      </c>
      <c r="G20">
        <v>2400</v>
      </c>
      <c r="H20">
        <v>17516</v>
      </c>
      <c r="I20">
        <v>63</v>
      </c>
      <c r="J20">
        <v>21</v>
      </c>
      <c r="K20" t="s">
        <v>440</v>
      </c>
      <c r="L20">
        <v>22</v>
      </c>
      <c r="M20">
        <v>3300</v>
      </c>
    </row>
    <row r="21" spans="1:13" x14ac:dyDescent="0.35">
      <c r="A21" t="s">
        <v>315</v>
      </c>
      <c r="B21">
        <v>22018</v>
      </c>
      <c r="C21">
        <v>553</v>
      </c>
      <c r="D21">
        <v>51</v>
      </c>
      <c r="E21" t="s">
        <v>441</v>
      </c>
      <c r="F21">
        <v>51</v>
      </c>
      <c r="G21" t="s">
        <v>442</v>
      </c>
      <c r="H21">
        <v>6843</v>
      </c>
      <c r="I21">
        <v>152</v>
      </c>
      <c r="J21">
        <v>10</v>
      </c>
      <c r="K21" t="s">
        <v>443</v>
      </c>
      <c r="L21">
        <v>10</v>
      </c>
      <c r="M21" t="s">
        <v>316</v>
      </c>
    </row>
    <row r="22" spans="1:13" x14ac:dyDescent="0.35">
      <c r="A22" t="s">
        <v>64</v>
      </c>
      <c r="B22">
        <v>21951</v>
      </c>
      <c r="C22">
        <v>284</v>
      </c>
      <c r="D22">
        <v>39</v>
      </c>
      <c r="E22" t="s">
        <v>444</v>
      </c>
      <c r="F22">
        <v>43</v>
      </c>
      <c r="G22">
        <v>8600</v>
      </c>
      <c r="H22">
        <v>17477</v>
      </c>
      <c r="I22">
        <v>116</v>
      </c>
      <c r="J22">
        <v>52</v>
      </c>
      <c r="K22" t="s">
        <v>445</v>
      </c>
      <c r="L22">
        <v>57</v>
      </c>
      <c r="M22">
        <v>11400</v>
      </c>
    </row>
    <row r="23" spans="1:13" x14ac:dyDescent="0.35">
      <c r="A23" t="s">
        <v>67</v>
      </c>
      <c r="B23">
        <v>21880</v>
      </c>
      <c r="C23">
        <v>3918</v>
      </c>
      <c r="D23">
        <v>302</v>
      </c>
      <c r="E23" t="s">
        <v>446</v>
      </c>
      <c r="F23">
        <v>609</v>
      </c>
      <c r="G23">
        <v>365400</v>
      </c>
      <c r="H23">
        <v>16011</v>
      </c>
      <c r="I23">
        <v>2930</v>
      </c>
      <c r="J23">
        <v>317</v>
      </c>
      <c r="K23" t="s">
        <v>447</v>
      </c>
      <c r="L23">
        <v>667</v>
      </c>
      <c r="M23">
        <v>400200</v>
      </c>
    </row>
    <row r="24" spans="1:13" x14ac:dyDescent="0.35">
      <c r="A24" t="s">
        <v>65</v>
      </c>
      <c r="B24">
        <v>21867</v>
      </c>
      <c r="C24">
        <v>446</v>
      </c>
      <c r="D24">
        <v>46</v>
      </c>
      <c r="E24" t="s">
        <v>448</v>
      </c>
      <c r="F24">
        <v>49</v>
      </c>
      <c r="G24">
        <v>19600</v>
      </c>
      <c r="H24">
        <v>17379</v>
      </c>
      <c r="I24">
        <v>583</v>
      </c>
      <c r="J24">
        <v>105</v>
      </c>
      <c r="K24" t="s">
        <v>449</v>
      </c>
      <c r="L24">
        <v>151</v>
      </c>
      <c r="M24">
        <v>60400</v>
      </c>
    </row>
    <row r="25" spans="1:13" x14ac:dyDescent="0.35">
      <c r="A25" t="s">
        <v>311</v>
      </c>
      <c r="B25">
        <v>20920</v>
      </c>
      <c r="C25">
        <v>858</v>
      </c>
      <c r="D25">
        <v>62</v>
      </c>
      <c r="E25" t="s">
        <v>450</v>
      </c>
      <c r="F25">
        <v>63</v>
      </c>
      <c r="G25" t="s">
        <v>451</v>
      </c>
      <c r="H25">
        <v>7263</v>
      </c>
      <c r="I25">
        <v>200</v>
      </c>
      <c r="J25">
        <v>19</v>
      </c>
      <c r="K25" t="s">
        <v>452</v>
      </c>
      <c r="L25">
        <v>19</v>
      </c>
      <c r="M25" t="s">
        <v>312</v>
      </c>
    </row>
    <row r="26" spans="1:13" x14ac:dyDescent="0.35">
      <c r="A26" t="s">
        <v>39</v>
      </c>
      <c r="B26">
        <v>18977</v>
      </c>
      <c r="C26">
        <v>1893</v>
      </c>
      <c r="D26">
        <v>16</v>
      </c>
      <c r="E26" t="s">
        <v>453</v>
      </c>
      <c r="F26">
        <v>19</v>
      </c>
      <c r="G26">
        <v>950</v>
      </c>
      <c r="H26">
        <v>37076</v>
      </c>
      <c r="I26">
        <v>3490</v>
      </c>
      <c r="J26">
        <v>44</v>
      </c>
      <c r="K26" t="s">
        <v>454</v>
      </c>
      <c r="L26">
        <v>48</v>
      </c>
      <c r="M26">
        <v>2400</v>
      </c>
    </row>
    <row r="27" spans="1:13" x14ac:dyDescent="0.35">
      <c r="A27" t="s">
        <v>42</v>
      </c>
      <c r="B27">
        <v>17226</v>
      </c>
      <c r="C27">
        <v>353</v>
      </c>
      <c r="D27">
        <v>8</v>
      </c>
      <c r="E27" t="s">
        <v>455</v>
      </c>
      <c r="F27">
        <v>133</v>
      </c>
      <c r="G27">
        <v>9975</v>
      </c>
      <c r="H27">
        <v>33683</v>
      </c>
      <c r="I27">
        <v>685</v>
      </c>
      <c r="J27">
        <v>18</v>
      </c>
      <c r="K27" t="s">
        <v>456</v>
      </c>
      <c r="L27">
        <v>223</v>
      </c>
      <c r="M27">
        <v>16725</v>
      </c>
    </row>
    <row r="28" spans="1:13" x14ac:dyDescent="0.35">
      <c r="A28" t="s">
        <v>47</v>
      </c>
      <c r="B28">
        <v>17012</v>
      </c>
      <c r="C28">
        <v>276</v>
      </c>
      <c r="D28">
        <v>7</v>
      </c>
      <c r="E28" t="s">
        <v>457</v>
      </c>
      <c r="F28">
        <v>60</v>
      </c>
      <c r="G28">
        <v>9000</v>
      </c>
      <c r="H28">
        <v>33154</v>
      </c>
      <c r="I28">
        <v>555</v>
      </c>
      <c r="J28">
        <v>17</v>
      </c>
      <c r="K28" t="s">
        <v>458</v>
      </c>
      <c r="L28">
        <v>71</v>
      </c>
      <c r="M28">
        <v>10650</v>
      </c>
    </row>
    <row r="29" spans="1:13" x14ac:dyDescent="0.35">
      <c r="A29" t="s">
        <v>49</v>
      </c>
      <c r="B29">
        <v>16956</v>
      </c>
      <c r="C29">
        <v>300</v>
      </c>
      <c r="D29">
        <v>14</v>
      </c>
      <c r="E29" t="s">
        <v>459</v>
      </c>
      <c r="F29">
        <v>58</v>
      </c>
      <c r="G29">
        <v>11600</v>
      </c>
      <c r="H29">
        <v>33063</v>
      </c>
      <c r="I29">
        <v>581</v>
      </c>
      <c r="J29">
        <v>51</v>
      </c>
      <c r="K29" t="s">
        <v>460</v>
      </c>
      <c r="L29">
        <v>125</v>
      </c>
      <c r="M29">
        <v>25000</v>
      </c>
    </row>
    <row r="30" spans="1:13" x14ac:dyDescent="0.35">
      <c r="A30" t="s">
        <v>296</v>
      </c>
      <c r="B30">
        <v>16906</v>
      </c>
      <c r="C30">
        <v>204</v>
      </c>
      <c r="D30">
        <v>8</v>
      </c>
      <c r="E30" t="s">
        <v>461</v>
      </c>
      <c r="F30">
        <v>8</v>
      </c>
      <c r="G30">
        <v>3200</v>
      </c>
      <c r="H30">
        <v>30022</v>
      </c>
      <c r="I30">
        <v>407</v>
      </c>
      <c r="J30">
        <v>8</v>
      </c>
      <c r="K30" t="s">
        <v>462</v>
      </c>
      <c r="L30">
        <v>8</v>
      </c>
      <c r="M30">
        <v>3200</v>
      </c>
    </row>
    <row r="31" spans="1:13" x14ac:dyDescent="0.35">
      <c r="A31" t="s">
        <v>55</v>
      </c>
      <c r="B31">
        <v>16884</v>
      </c>
      <c r="C31">
        <v>467</v>
      </c>
      <c r="D31">
        <v>4</v>
      </c>
      <c r="E31" t="s">
        <v>463</v>
      </c>
      <c r="F31">
        <v>5</v>
      </c>
      <c r="G31">
        <v>3000</v>
      </c>
      <c r="H31">
        <v>32901</v>
      </c>
      <c r="I31">
        <v>964</v>
      </c>
      <c r="J31">
        <v>25</v>
      </c>
      <c r="K31" t="s">
        <v>464</v>
      </c>
      <c r="L31">
        <v>32</v>
      </c>
      <c r="M31">
        <v>19200</v>
      </c>
    </row>
    <row r="32" spans="1:13" x14ac:dyDescent="0.35">
      <c r="A32" t="s">
        <v>40</v>
      </c>
      <c r="B32">
        <v>16848</v>
      </c>
      <c r="C32">
        <v>2905</v>
      </c>
      <c r="D32">
        <v>29</v>
      </c>
      <c r="E32" t="s">
        <v>465</v>
      </c>
      <c r="F32">
        <v>63</v>
      </c>
      <c r="G32">
        <v>3150</v>
      </c>
      <c r="H32">
        <v>35551</v>
      </c>
      <c r="I32">
        <v>5628</v>
      </c>
      <c r="J32">
        <v>55</v>
      </c>
      <c r="K32" t="s">
        <v>466</v>
      </c>
      <c r="L32">
        <v>111</v>
      </c>
      <c r="M32">
        <v>5550</v>
      </c>
    </row>
    <row r="33" spans="1:13" x14ac:dyDescent="0.35">
      <c r="A33" t="s">
        <v>320</v>
      </c>
      <c r="B33">
        <v>16241</v>
      </c>
      <c r="C33">
        <v>123</v>
      </c>
      <c r="D33">
        <v>20</v>
      </c>
      <c r="E33" t="s">
        <v>467</v>
      </c>
      <c r="F33">
        <v>20</v>
      </c>
      <c r="G33" t="s">
        <v>468</v>
      </c>
      <c r="H33">
        <v>5432</v>
      </c>
      <c r="I33">
        <v>36</v>
      </c>
      <c r="J33">
        <v>2</v>
      </c>
      <c r="K33" t="s">
        <v>469</v>
      </c>
      <c r="L33">
        <v>2</v>
      </c>
      <c r="M33" t="s">
        <v>321</v>
      </c>
    </row>
    <row r="34" spans="1:13" x14ac:dyDescent="0.35">
      <c r="A34" t="s">
        <v>322</v>
      </c>
      <c r="B34">
        <v>16112</v>
      </c>
      <c r="C34">
        <v>169</v>
      </c>
      <c r="D34">
        <v>16</v>
      </c>
      <c r="E34" t="s">
        <v>470</v>
      </c>
      <c r="F34">
        <v>16</v>
      </c>
      <c r="G34" t="s">
        <v>471</v>
      </c>
      <c r="H34">
        <v>5253</v>
      </c>
      <c r="I34">
        <v>51</v>
      </c>
      <c r="J34">
        <v>3</v>
      </c>
      <c r="K34" t="s">
        <v>472</v>
      </c>
      <c r="L34">
        <v>3</v>
      </c>
      <c r="M34" t="s">
        <v>323</v>
      </c>
    </row>
    <row r="35" spans="1:13" x14ac:dyDescent="0.35">
      <c r="A35" t="s">
        <v>52</v>
      </c>
      <c r="B35">
        <v>15987</v>
      </c>
      <c r="C35">
        <v>769</v>
      </c>
      <c r="D35">
        <v>21</v>
      </c>
      <c r="E35" t="s">
        <v>473</v>
      </c>
      <c r="F35">
        <v>248</v>
      </c>
      <c r="G35">
        <v>18600</v>
      </c>
      <c r="H35">
        <v>33903</v>
      </c>
      <c r="I35">
        <v>1596</v>
      </c>
      <c r="J35">
        <v>33</v>
      </c>
      <c r="K35" t="s">
        <v>474</v>
      </c>
      <c r="L35">
        <v>400</v>
      </c>
      <c r="M35">
        <v>30000</v>
      </c>
    </row>
    <row r="36" spans="1:13" x14ac:dyDescent="0.35">
      <c r="A36" t="s">
        <v>43</v>
      </c>
      <c r="B36">
        <v>15908</v>
      </c>
      <c r="C36">
        <v>1185</v>
      </c>
      <c r="D36">
        <v>57</v>
      </c>
      <c r="E36" t="s">
        <v>475</v>
      </c>
      <c r="F36">
        <v>279</v>
      </c>
      <c r="G36">
        <v>27900</v>
      </c>
      <c r="H36">
        <v>33779</v>
      </c>
      <c r="I36">
        <v>2104</v>
      </c>
      <c r="J36">
        <v>94</v>
      </c>
      <c r="K36" t="s">
        <v>476</v>
      </c>
      <c r="L36">
        <v>455</v>
      </c>
      <c r="M36">
        <v>45500</v>
      </c>
    </row>
    <row r="37" spans="1:13" x14ac:dyDescent="0.35">
      <c r="A37" t="s">
        <v>330</v>
      </c>
      <c r="B37">
        <v>15894</v>
      </c>
      <c r="C37">
        <v>290</v>
      </c>
      <c r="D37">
        <v>49</v>
      </c>
      <c r="E37" t="s">
        <v>477</v>
      </c>
      <c r="F37">
        <v>56</v>
      </c>
      <c r="G37" t="s">
        <v>478</v>
      </c>
      <c r="H37">
        <v>5145</v>
      </c>
      <c r="I37">
        <v>86</v>
      </c>
      <c r="J37">
        <v>10</v>
      </c>
      <c r="K37" t="s">
        <v>479</v>
      </c>
      <c r="L37">
        <v>10</v>
      </c>
      <c r="M37" t="s">
        <v>331</v>
      </c>
    </row>
    <row r="38" spans="1:13" x14ac:dyDescent="0.35">
      <c r="A38" t="s">
        <v>326</v>
      </c>
      <c r="B38">
        <v>15739</v>
      </c>
      <c r="C38">
        <v>40</v>
      </c>
      <c r="D38">
        <v>6</v>
      </c>
      <c r="E38" t="s">
        <v>480</v>
      </c>
      <c r="F38">
        <v>6</v>
      </c>
      <c r="G38" t="s">
        <v>481</v>
      </c>
      <c r="H38">
        <v>5161</v>
      </c>
      <c r="I38">
        <v>19</v>
      </c>
      <c r="J38">
        <v>1</v>
      </c>
      <c r="K38" t="s">
        <v>482</v>
      </c>
      <c r="L38">
        <v>1</v>
      </c>
      <c r="M38" t="s">
        <v>327</v>
      </c>
    </row>
    <row r="39" spans="1:13" x14ac:dyDescent="0.35">
      <c r="A39" t="s">
        <v>328</v>
      </c>
      <c r="B39">
        <v>15715</v>
      </c>
      <c r="C39">
        <v>45</v>
      </c>
      <c r="D39">
        <v>10</v>
      </c>
      <c r="E39" t="s">
        <v>483</v>
      </c>
      <c r="F39">
        <v>11</v>
      </c>
      <c r="G39" t="s">
        <v>484</v>
      </c>
      <c r="H39">
        <v>5146</v>
      </c>
      <c r="I39">
        <v>31</v>
      </c>
      <c r="J39">
        <v>5</v>
      </c>
      <c r="K39" t="s">
        <v>485</v>
      </c>
      <c r="L39">
        <v>5</v>
      </c>
      <c r="M39" t="s">
        <v>329</v>
      </c>
    </row>
    <row r="40" spans="1:13" x14ac:dyDescent="0.35">
      <c r="A40" t="s">
        <v>332</v>
      </c>
      <c r="B40">
        <v>15618</v>
      </c>
      <c r="C40">
        <v>141</v>
      </c>
      <c r="D40">
        <v>20</v>
      </c>
      <c r="E40" t="s">
        <v>486</v>
      </c>
      <c r="F40">
        <v>30</v>
      </c>
      <c r="G40" t="s">
        <v>487</v>
      </c>
      <c r="H40">
        <v>5049</v>
      </c>
      <c r="I40">
        <v>99</v>
      </c>
      <c r="J40">
        <v>2</v>
      </c>
      <c r="K40" t="s">
        <v>488</v>
      </c>
      <c r="L40">
        <v>2</v>
      </c>
      <c r="M40" t="s">
        <v>333</v>
      </c>
    </row>
    <row r="41" spans="1:13" x14ac:dyDescent="0.35">
      <c r="A41" t="s">
        <v>336</v>
      </c>
      <c r="B41">
        <v>15588</v>
      </c>
      <c r="C41">
        <v>944</v>
      </c>
      <c r="D41">
        <v>8</v>
      </c>
      <c r="E41" t="s">
        <v>489</v>
      </c>
      <c r="F41">
        <v>8</v>
      </c>
      <c r="G41" t="s">
        <v>490</v>
      </c>
      <c r="H41">
        <v>5030</v>
      </c>
      <c r="I41">
        <v>201</v>
      </c>
      <c r="J41">
        <v>3</v>
      </c>
      <c r="K41" t="s">
        <v>491</v>
      </c>
      <c r="L41">
        <v>3</v>
      </c>
      <c r="M41" t="s">
        <v>337</v>
      </c>
    </row>
    <row r="42" spans="1:13" x14ac:dyDescent="0.35">
      <c r="A42" t="s">
        <v>492</v>
      </c>
      <c r="B42">
        <v>13683</v>
      </c>
      <c r="C42">
        <v>933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/>
      <c r="L42">
        <v>0</v>
      </c>
      <c r="M42">
        <v>0</v>
      </c>
    </row>
    <row r="43" spans="1:13" x14ac:dyDescent="0.35">
      <c r="A43" t="s">
        <v>70</v>
      </c>
      <c r="B43">
        <v>12792</v>
      </c>
      <c r="C43">
        <v>2876</v>
      </c>
      <c r="D43">
        <v>284</v>
      </c>
      <c r="E43" t="s">
        <v>493</v>
      </c>
      <c r="F43">
        <v>323</v>
      </c>
      <c r="G43">
        <v>65535</v>
      </c>
      <c r="H43">
        <v>17304</v>
      </c>
      <c r="I43">
        <v>3670</v>
      </c>
      <c r="J43">
        <v>299</v>
      </c>
      <c r="K43" t="s">
        <v>494</v>
      </c>
      <c r="L43">
        <v>318</v>
      </c>
      <c r="M43">
        <v>64430</v>
      </c>
    </row>
    <row r="44" spans="1:13" x14ac:dyDescent="0.35">
      <c r="A44" t="s">
        <v>73</v>
      </c>
      <c r="B44">
        <v>12302</v>
      </c>
      <c r="C44">
        <v>749</v>
      </c>
      <c r="D44">
        <v>411</v>
      </c>
      <c r="E44" t="s">
        <v>495</v>
      </c>
      <c r="F44">
        <v>497</v>
      </c>
      <c r="G44">
        <v>198800</v>
      </c>
      <c r="H44">
        <v>16404</v>
      </c>
      <c r="I44">
        <v>597</v>
      </c>
      <c r="J44">
        <v>354</v>
      </c>
      <c r="K44" t="s">
        <v>496</v>
      </c>
      <c r="L44">
        <v>394</v>
      </c>
      <c r="M44">
        <v>157600</v>
      </c>
    </row>
    <row r="45" spans="1:13" x14ac:dyDescent="0.35">
      <c r="A45" t="s">
        <v>74</v>
      </c>
      <c r="B45">
        <v>12230</v>
      </c>
      <c r="C45">
        <v>761</v>
      </c>
      <c r="D45">
        <v>152</v>
      </c>
      <c r="E45" t="s">
        <v>497</v>
      </c>
      <c r="F45">
        <v>163</v>
      </c>
      <c r="G45">
        <v>66830</v>
      </c>
      <c r="H45">
        <v>16374</v>
      </c>
      <c r="I45">
        <v>1240</v>
      </c>
      <c r="J45">
        <v>236</v>
      </c>
      <c r="K45" t="s">
        <v>498</v>
      </c>
      <c r="L45">
        <v>267</v>
      </c>
      <c r="M45">
        <v>109460</v>
      </c>
    </row>
    <row r="46" spans="1:13" x14ac:dyDescent="0.35">
      <c r="A46" t="s">
        <v>76</v>
      </c>
      <c r="B46">
        <v>12214</v>
      </c>
      <c r="C46">
        <v>1178</v>
      </c>
      <c r="D46">
        <v>217</v>
      </c>
      <c r="E46" t="s">
        <v>499</v>
      </c>
      <c r="F46">
        <v>244</v>
      </c>
      <c r="G46">
        <v>200080</v>
      </c>
      <c r="H46">
        <v>16343</v>
      </c>
      <c r="I46">
        <v>1372</v>
      </c>
      <c r="J46">
        <v>235</v>
      </c>
      <c r="K46" t="s">
        <v>500</v>
      </c>
      <c r="L46">
        <v>258</v>
      </c>
      <c r="M46">
        <v>211560</v>
      </c>
    </row>
    <row r="47" spans="1:13" x14ac:dyDescent="0.35">
      <c r="A47" t="s">
        <v>57</v>
      </c>
      <c r="B47">
        <v>11517</v>
      </c>
      <c r="C47">
        <v>754</v>
      </c>
      <c r="D47">
        <v>29</v>
      </c>
      <c r="E47" t="s">
        <v>501</v>
      </c>
      <c r="F47">
        <v>29</v>
      </c>
      <c r="G47">
        <v>1450</v>
      </c>
      <c r="H47">
        <v>21628</v>
      </c>
      <c r="I47">
        <v>1284</v>
      </c>
      <c r="J47">
        <v>70</v>
      </c>
      <c r="K47" t="s">
        <v>502</v>
      </c>
      <c r="L47">
        <v>72</v>
      </c>
      <c r="M47">
        <v>3600</v>
      </c>
    </row>
    <row r="48" spans="1:13" x14ac:dyDescent="0.35">
      <c r="A48" t="s">
        <v>75</v>
      </c>
      <c r="B48">
        <v>10586</v>
      </c>
      <c r="C48">
        <v>1556</v>
      </c>
      <c r="D48">
        <v>834</v>
      </c>
      <c r="E48" t="s">
        <v>503</v>
      </c>
      <c r="F48">
        <v>1082</v>
      </c>
      <c r="G48">
        <v>865600</v>
      </c>
      <c r="H48">
        <v>16366</v>
      </c>
      <c r="I48">
        <v>1752</v>
      </c>
      <c r="J48">
        <v>915</v>
      </c>
      <c r="K48" t="s">
        <v>504</v>
      </c>
      <c r="L48">
        <v>1184</v>
      </c>
      <c r="M48">
        <v>947200</v>
      </c>
    </row>
    <row r="49" spans="1:13" x14ac:dyDescent="0.35">
      <c r="A49" t="s">
        <v>59</v>
      </c>
      <c r="B49">
        <v>9793</v>
      </c>
      <c r="C49">
        <v>378</v>
      </c>
      <c r="D49">
        <v>8</v>
      </c>
      <c r="E49" t="s">
        <v>505</v>
      </c>
      <c r="F49">
        <v>8</v>
      </c>
      <c r="G49">
        <v>120</v>
      </c>
      <c r="H49">
        <v>17559</v>
      </c>
      <c r="I49">
        <v>400</v>
      </c>
      <c r="J49">
        <v>50</v>
      </c>
      <c r="K49" t="s">
        <v>506</v>
      </c>
      <c r="L49">
        <v>50</v>
      </c>
      <c r="M49">
        <v>736</v>
      </c>
    </row>
    <row r="50" spans="1:13" x14ac:dyDescent="0.35">
      <c r="A50" t="s">
        <v>58</v>
      </c>
      <c r="B50">
        <v>9700</v>
      </c>
      <c r="C50">
        <v>142</v>
      </c>
      <c r="D50">
        <v>5</v>
      </c>
      <c r="E50" t="s">
        <v>507</v>
      </c>
      <c r="F50">
        <v>109</v>
      </c>
      <c r="G50">
        <v>8175</v>
      </c>
      <c r="H50">
        <v>18138</v>
      </c>
      <c r="I50">
        <v>319</v>
      </c>
      <c r="J50">
        <v>13</v>
      </c>
      <c r="K50" t="s">
        <v>508</v>
      </c>
      <c r="L50">
        <v>186</v>
      </c>
      <c r="M50">
        <v>13950</v>
      </c>
    </row>
    <row r="51" spans="1:13" x14ac:dyDescent="0.35">
      <c r="A51" t="s">
        <v>61</v>
      </c>
      <c r="B51">
        <v>9456</v>
      </c>
      <c r="C51">
        <v>128</v>
      </c>
      <c r="D51">
        <v>9</v>
      </c>
      <c r="E51" t="s">
        <v>509</v>
      </c>
      <c r="F51">
        <v>9</v>
      </c>
      <c r="G51">
        <v>1350</v>
      </c>
      <c r="H51">
        <v>17615</v>
      </c>
      <c r="I51">
        <v>199</v>
      </c>
      <c r="J51">
        <v>8</v>
      </c>
      <c r="K51" t="s">
        <v>510</v>
      </c>
      <c r="L51">
        <v>9</v>
      </c>
      <c r="M51">
        <v>1350</v>
      </c>
    </row>
    <row r="52" spans="1:13" x14ac:dyDescent="0.35">
      <c r="A52" t="s">
        <v>62</v>
      </c>
      <c r="B52">
        <v>9443</v>
      </c>
      <c r="C52">
        <v>178</v>
      </c>
      <c r="D52">
        <v>13</v>
      </c>
      <c r="E52" t="s">
        <v>511</v>
      </c>
      <c r="F52">
        <v>90</v>
      </c>
      <c r="G52">
        <v>18000</v>
      </c>
      <c r="H52">
        <v>17555</v>
      </c>
      <c r="I52">
        <v>233</v>
      </c>
      <c r="J52">
        <v>23</v>
      </c>
      <c r="K52" t="s">
        <v>512</v>
      </c>
      <c r="L52">
        <v>114</v>
      </c>
      <c r="M52">
        <v>22800</v>
      </c>
    </row>
    <row r="53" spans="1:13" x14ac:dyDescent="0.35">
      <c r="A53" t="s">
        <v>82</v>
      </c>
      <c r="B53">
        <v>9369</v>
      </c>
      <c r="C53">
        <v>138</v>
      </c>
      <c r="D53">
        <v>8</v>
      </c>
      <c r="E53" t="s">
        <v>513</v>
      </c>
      <c r="F53">
        <v>8</v>
      </c>
      <c r="G53">
        <v>3200</v>
      </c>
      <c r="H53">
        <v>17397</v>
      </c>
      <c r="I53">
        <v>299</v>
      </c>
      <c r="J53">
        <v>3</v>
      </c>
      <c r="K53" t="s">
        <v>514</v>
      </c>
      <c r="L53">
        <v>3</v>
      </c>
      <c r="M53">
        <v>1200</v>
      </c>
    </row>
    <row r="54" spans="1:13" x14ac:dyDescent="0.35">
      <c r="A54" t="s">
        <v>66</v>
      </c>
      <c r="B54">
        <v>9353</v>
      </c>
      <c r="C54">
        <v>224</v>
      </c>
      <c r="D54">
        <v>9</v>
      </c>
      <c r="E54" t="s">
        <v>515</v>
      </c>
      <c r="F54">
        <v>17</v>
      </c>
      <c r="G54">
        <v>10200</v>
      </c>
      <c r="H54">
        <v>17359</v>
      </c>
      <c r="I54">
        <v>377</v>
      </c>
      <c r="J54">
        <v>12</v>
      </c>
      <c r="K54" t="s">
        <v>516</v>
      </c>
      <c r="L54">
        <v>15</v>
      </c>
      <c r="M54">
        <v>9000</v>
      </c>
    </row>
    <row r="55" spans="1:13" x14ac:dyDescent="0.35">
      <c r="A55" t="s">
        <v>81</v>
      </c>
      <c r="B55">
        <v>8792</v>
      </c>
      <c r="C55">
        <v>1402</v>
      </c>
      <c r="D55">
        <v>163</v>
      </c>
      <c r="E55" t="s">
        <v>517</v>
      </c>
      <c r="F55">
        <v>299</v>
      </c>
      <c r="G55" t="s">
        <v>518</v>
      </c>
      <c r="H55">
        <v>7751</v>
      </c>
      <c r="I55">
        <v>2151</v>
      </c>
      <c r="J55">
        <v>217</v>
      </c>
      <c r="K55" t="s">
        <v>519</v>
      </c>
      <c r="L55">
        <v>438</v>
      </c>
      <c r="M55" t="s">
        <v>310</v>
      </c>
    </row>
    <row r="56" spans="1:13" x14ac:dyDescent="0.35">
      <c r="A56" t="s">
        <v>313</v>
      </c>
      <c r="B56">
        <v>7343</v>
      </c>
      <c r="C56">
        <v>1255</v>
      </c>
      <c r="D56">
        <v>6</v>
      </c>
      <c r="E56" t="s">
        <v>520</v>
      </c>
      <c r="F56">
        <v>6</v>
      </c>
      <c r="G56" t="s">
        <v>314</v>
      </c>
      <c r="H56">
        <v>6986</v>
      </c>
      <c r="I56">
        <v>1810</v>
      </c>
      <c r="J56">
        <v>6</v>
      </c>
      <c r="K56" t="s">
        <v>521</v>
      </c>
      <c r="L56">
        <v>6</v>
      </c>
      <c r="M56" t="s">
        <v>314</v>
      </c>
    </row>
    <row r="57" spans="1:13" x14ac:dyDescent="0.35">
      <c r="A57" t="s">
        <v>86</v>
      </c>
      <c r="B57">
        <v>7239</v>
      </c>
      <c r="C57">
        <v>484</v>
      </c>
      <c r="D57">
        <v>11</v>
      </c>
      <c r="E57" t="s">
        <v>522</v>
      </c>
      <c r="F57">
        <v>18</v>
      </c>
      <c r="G57" t="s">
        <v>523</v>
      </c>
      <c r="H57">
        <v>9865</v>
      </c>
      <c r="I57">
        <v>729</v>
      </c>
      <c r="J57">
        <v>41</v>
      </c>
      <c r="K57" t="s">
        <v>524</v>
      </c>
      <c r="L57">
        <v>80</v>
      </c>
      <c r="M57" t="s">
        <v>304</v>
      </c>
    </row>
    <row r="58" spans="1:13" x14ac:dyDescent="0.35">
      <c r="A58" t="s">
        <v>85</v>
      </c>
      <c r="B58">
        <v>7226</v>
      </c>
      <c r="C58">
        <v>442</v>
      </c>
      <c r="D58">
        <v>62</v>
      </c>
      <c r="E58" t="s">
        <v>525</v>
      </c>
      <c r="F58">
        <v>120</v>
      </c>
      <c r="G58" t="s">
        <v>526</v>
      </c>
      <c r="H58">
        <v>9861</v>
      </c>
      <c r="I58">
        <v>1017</v>
      </c>
      <c r="J58">
        <v>158</v>
      </c>
      <c r="K58" t="s">
        <v>527</v>
      </c>
      <c r="L58">
        <v>322</v>
      </c>
      <c r="M58" t="s">
        <v>305</v>
      </c>
    </row>
    <row r="59" spans="1:13" x14ac:dyDescent="0.35">
      <c r="A59" t="s">
        <v>87</v>
      </c>
      <c r="B59">
        <v>7166</v>
      </c>
      <c r="C59">
        <v>314</v>
      </c>
      <c r="D59">
        <v>14</v>
      </c>
      <c r="E59" t="s">
        <v>528</v>
      </c>
      <c r="F59">
        <v>24</v>
      </c>
      <c r="G59" t="s">
        <v>308</v>
      </c>
      <c r="H59">
        <v>9764</v>
      </c>
      <c r="I59">
        <v>923</v>
      </c>
      <c r="J59">
        <v>24</v>
      </c>
      <c r="K59" t="s">
        <v>529</v>
      </c>
      <c r="L59">
        <v>50</v>
      </c>
      <c r="M59" t="s">
        <v>307</v>
      </c>
    </row>
    <row r="60" spans="1:13" x14ac:dyDescent="0.35">
      <c r="A60" t="s">
        <v>83</v>
      </c>
      <c r="B60">
        <v>7161</v>
      </c>
      <c r="C60">
        <v>94</v>
      </c>
      <c r="D60">
        <v>18</v>
      </c>
      <c r="E60" t="s">
        <v>530</v>
      </c>
      <c r="F60">
        <v>34</v>
      </c>
      <c r="G60" t="s">
        <v>531</v>
      </c>
      <c r="H60">
        <v>9874</v>
      </c>
      <c r="I60">
        <v>217</v>
      </c>
      <c r="J60">
        <v>43</v>
      </c>
      <c r="K60" t="s">
        <v>532</v>
      </c>
      <c r="L60">
        <v>92</v>
      </c>
      <c r="M60" t="s">
        <v>302</v>
      </c>
    </row>
    <row r="61" spans="1:13" x14ac:dyDescent="0.35">
      <c r="A61" t="s">
        <v>88</v>
      </c>
      <c r="B61">
        <v>7148</v>
      </c>
      <c r="C61">
        <v>624</v>
      </c>
      <c r="D61">
        <v>34</v>
      </c>
      <c r="E61" t="s">
        <v>533</v>
      </c>
      <c r="F61">
        <v>63</v>
      </c>
      <c r="G61" t="s">
        <v>534</v>
      </c>
      <c r="H61">
        <v>9769</v>
      </c>
      <c r="I61">
        <v>1687</v>
      </c>
      <c r="J61">
        <v>87</v>
      </c>
      <c r="K61" t="s">
        <v>535</v>
      </c>
      <c r="L61">
        <v>188</v>
      </c>
      <c r="M61" t="s">
        <v>306</v>
      </c>
    </row>
    <row r="62" spans="1:13" x14ac:dyDescent="0.35">
      <c r="A62" t="s">
        <v>84</v>
      </c>
      <c r="B62">
        <v>7143</v>
      </c>
      <c r="C62">
        <v>53</v>
      </c>
      <c r="D62">
        <v>3</v>
      </c>
      <c r="E62" t="s">
        <v>536</v>
      </c>
      <c r="F62">
        <v>7</v>
      </c>
      <c r="G62" t="s">
        <v>537</v>
      </c>
      <c r="H62">
        <v>9867</v>
      </c>
      <c r="I62">
        <v>249</v>
      </c>
      <c r="J62">
        <v>15</v>
      </c>
      <c r="K62" t="s">
        <v>538</v>
      </c>
      <c r="L62">
        <v>33</v>
      </c>
      <c r="M62" t="s">
        <v>303</v>
      </c>
    </row>
    <row r="63" spans="1:13" x14ac:dyDescent="0.35">
      <c r="A63" t="s">
        <v>80</v>
      </c>
      <c r="B63">
        <v>6763</v>
      </c>
      <c r="C63">
        <v>608</v>
      </c>
      <c r="D63">
        <v>8</v>
      </c>
      <c r="E63" t="s">
        <v>539</v>
      </c>
      <c r="F63">
        <v>10</v>
      </c>
      <c r="G63" t="s">
        <v>540</v>
      </c>
      <c r="H63">
        <v>8885</v>
      </c>
      <c r="I63">
        <v>734</v>
      </c>
      <c r="J63">
        <v>5</v>
      </c>
      <c r="K63" t="s">
        <v>541</v>
      </c>
      <c r="L63">
        <v>5</v>
      </c>
      <c r="M63" t="s">
        <v>309</v>
      </c>
    </row>
    <row r="64" spans="1:13" x14ac:dyDescent="0.35">
      <c r="A64" t="s">
        <v>90</v>
      </c>
      <c r="B64">
        <v>6684</v>
      </c>
      <c r="C64">
        <v>289</v>
      </c>
      <c r="D64">
        <v>8</v>
      </c>
      <c r="E64" t="s">
        <v>542</v>
      </c>
      <c r="F64">
        <v>8</v>
      </c>
      <c r="G64">
        <v>400</v>
      </c>
      <c r="H64">
        <v>10621</v>
      </c>
      <c r="I64">
        <v>637</v>
      </c>
      <c r="J64">
        <v>9</v>
      </c>
      <c r="K64" t="s">
        <v>543</v>
      </c>
      <c r="L64">
        <v>9</v>
      </c>
      <c r="M64">
        <v>450</v>
      </c>
    </row>
    <row r="65" spans="1:13" x14ac:dyDescent="0.35">
      <c r="A65" t="s">
        <v>71</v>
      </c>
      <c r="B65">
        <v>5954</v>
      </c>
      <c r="C65">
        <v>1522</v>
      </c>
      <c r="D65">
        <v>147</v>
      </c>
      <c r="E65" t="s">
        <v>544</v>
      </c>
      <c r="F65">
        <v>167</v>
      </c>
      <c r="G65" t="s">
        <v>545</v>
      </c>
      <c r="H65">
        <v>16542</v>
      </c>
      <c r="I65">
        <v>1047</v>
      </c>
      <c r="J65">
        <v>65</v>
      </c>
      <c r="K65" t="s">
        <v>546</v>
      </c>
      <c r="L65">
        <v>70</v>
      </c>
      <c r="M65" t="s">
        <v>299</v>
      </c>
    </row>
    <row r="66" spans="1:13" x14ac:dyDescent="0.35">
      <c r="A66" t="s">
        <v>91</v>
      </c>
      <c r="B66">
        <v>5621</v>
      </c>
      <c r="C66">
        <v>491</v>
      </c>
      <c r="D66">
        <v>22</v>
      </c>
      <c r="E66" t="s">
        <v>547</v>
      </c>
      <c r="F66">
        <v>63</v>
      </c>
      <c r="G66" t="s">
        <v>548</v>
      </c>
      <c r="H66">
        <v>6298</v>
      </c>
      <c r="I66">
        <v>451</v>
      </c>
      <c r="J66">
        <v>29</v>
      </c>
      <c r="K66" t="s">
        <v>549</v>
      </c>
      <c r="L66">
        <v>76</v>
      </c>
      <c r="M66" t="s">
        <v>317</v>
      </c>
    </row>
    <row r="67" spans="1:13" x14ac:dyDescent="0.35">
      <c r="A67" t="s">
        <v>102</v>
      </c>
      <c r="B67">
        <v>5297</v>
      </c>
      <c r="C67">
        <v>501</v>
      </c>
      <c r="D67">
        <v>0</v>
      </c>
      <c r="E67">
        <v>0</v>
      </c>
      <c r="F67">
        <v>0</v>
      </c>
      <c r="G67">
        <v>0</v>
      </c>
      <c r="H67">
        <v>6096</v>
      </c>
      <c r="I67">
        <v>586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 t="s">
        <v>103</v>
      </c>
      <c r="B68">
        <v>5297</v>
      </c>
      <c r="C68">
        <v>354</v>
      </c>
      <c r="D68">
        <v>0</v>
      </c>
      <c r="E68">
        <v>0</v>
      </c>
      <c r="F68">
        <v>0</v>
      </c>
      <c r="G68">
        <v>0</v>
      </c>
      <c r="H68">
        <v>6096</v>
      </c>
      <c r="I68">
        <v>364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 t="s">
        <v>104</v>
      </c>
      <c r="B69">
        <v>5297</v>
      </c>
      <c r="C69">
        <v>167</v>
      </c>
      <c r="D69">
        <v>0</v>
      </c>
      <c r="E69">
        <v>0</v>
      </c>
      <c r="F69">
        <v>0</v>
      </c>
      <c r="G69">
        <v>0</v>
      </c>
      <c r="H69">
        <v>6096</v>
      </c>
      <c r="I69">
        <v>238</v>
      </c>
      <c r="J69">
        <v>0</v>
      </c>
      <c r="K69">
        <v>0</v>
      </c>
      <c r="L69">
        <v>0</v>
      </c>
      <c r="M69">
        <v>0</v>
      </c>
    </row>
    <row r="70" spans="1:13" x14ac:dyDescent="0.35">
      <c r="A70" t="s">
        <v>105</v>
      </c>
      <c r="B70">
        <v>5297</v>
      </c>
      <c r="C70">
        <v>133</v>
      </c>
      <c r="D70">
        <v>0</v>
      </c>
      <c r="E70">
        <v>0</v>
      </c>
      <c r="F70">
        <v>0</v>
      </c>
      <c r="G70">
        <v>0</v>
      </c>
      <c r="H70">
        <v>6096</v>
      </c>
      <c r="I70">
        <v>159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 t="s">
        <v>94</v>
      </c>
      <c r="B71">
        <v>5215</v>
      </c>
      <c r="C71">
        <v>843</v>
      </c>
      <c r="D71">
        <v>208</v>
      </c>
      <c r="E71" t="s">
        <v>550</v>
      </c>
      <c r="F71">
        <v>252</v>
      </c>
      <c r="G71" t="s">
        <v>551</v>
      </c>
      <c r="H71">
        <v>5859</v>
      </c>
      <c r="I71">
        <v>392</v>
      </c>
      <c r="J71">
        <v>100</v>
      </c>
      <c r="K71" t="s">
        <v>552</v>
      </c>
      <c r="L71">
        <v>107</v>
      </c>
      <c r="M71" t="s">
        <v>318</v>
      </c>
    </row>
    <row r="72" spans="1:13" x14ac:dyDescent="0.35">
      <c r="A72" t="s">
        <v>106</v>
      </c>
      <c r="B72">
        <v>4833</v>
      </c>
      <c r="C72">
        <v>204</v>
      </c>
      <c r="D72">
        <v>6</v>
      </c>
      <c r="E72" t="s">
        <v>553</v>
      </c>
      <c r="F72">
        <v>12</v>
      </c>
      <c r="G72">
        <v>900</v>
      </c>
      <c r="H72">
        <v>8531</v>
      </c>
      <c r="I72">
        <v>258</v>
      </c>
      <c r="J72">
        <v>5</v>
      </c>
      <c r="K72" t="s">
        <v>554</v>
      </c>
      <c r="L72">
        <v>95</v>
      </c>
      <c r="M72">
        <v>7125</v>
      </c>
    </row>
    <row r="73" spans="1:13" x14ac:dyDescent="0.35">
      <c r="A73" t="s">
        <v>324</v>
      </c>
      <c r="B73">
        <v>4819</v>
      </c>
      <c r="C73">
        <v>100</v>
      </c>
      <c r="D73">
        <v>14</v>
      </c>
      <c r="E73" t="s">
        <v>555</v>
      </c>
      <c r="F73">
        <v>18</v>
      </c>
      <c r="G73" t="s">
        <v>556</v>
      </c>
      <c r="H73">
        <v>5180</v>
      </c>
      <c r="I73">
        <v>53</v>
      </c>
      <c r="J73">
        <v>6</v>
      </c>
      <c r="K73" t="s">
        <v>557</v>
      </c>
      <c r="L73">
        <v>6</v>
      </c>
      <c r="M73" t="s">
        <v>325</v>
      </c>
    </row>
    <row r="74" spans="1:13" x14ac:dyDescent="0.35">
      <c r="A74" t="s">
        <v>96</v>
      </c>
      <c r="B74">
        <v>4816</v>
      </c>
      <c r="C74">
        <v>1159</v>
      </c>
      <c r="D74">
        <v>44</v>
      </c>
      <c r="E74" t="s">
        <v>558</v>
      </c>
      <c r="F74">
        <v>56</v>
      </c>
      <c r="G74">
        <v>4200</v>
      </c>
      <c r="H74">
        <v>10075</v>
      </c>
      <c r="I74">
        <v>1521</v>
      </c>
      <c r="J74">
        <v>38</v>
      </c>
      <c r="K74" t="s">
        <v>559</v>
      </c>
      <c r="L74">
        <v>38</v>
      </c>
      <c r="M74">
        <v>2850</v>
      </c>
    </row>
    <row r="75" spans="1:13" x14ac:dyDescent="0.35">
      <c r="A75" t="s">
        <v>334</v>
      </c>
      <c r="B75">
        <v>4648</v>
      </c>
      <c r="C75">
        <v>116</v>
      </c>
      <c r="D75">
        <v>4</v>
      </c>
      <c r="E75" t="s">
        <v>560</v>
      </c>
      <c r="F75">
        <v>5</v>
      </c>
      <c r="G75" t="s">
        <v>561</v>
      </c>
      <c r="H75">
        <v>5038</v>
      </c>
      <c r="I75">
        <v>120</v>
      </c>
      <c r="J75">
        <v>1</v>
      </c>
      <c r="K75" t="s">
        <v>562</v>
      </c>
      <c r="L75">
        <v>1</v>
      </c>
      <c r="M75" t="s">
        <v>335</v>
      </c>
    </row>
    <row r="76" spans="1:13" x14ac:dyDescent="0.35">
      <c r="A76" t="s">
        <v>107</v>
      </c>
      <c r="B76">
        <v>4639</v>
      </c>
      <c r="C76">
        <v>230</v>
      </c>
      <c r="D76">
        <v>45</v>
      </c>
      <c r="E76" t="s">
        <v>563</v>
      </c>
      <c r="F76">
        <v>50</v>
      </c>
      <c r="G76">
        <v>5000</v>
      </c>
      <c r="H76">
        <v>8299</v>
      </c>
      <c r="I76">
        <v>377</v>
      </c>
      <c r="J76">
        <v>61</v>
      </c>
      <c r="K76" t="s">
        <v>564</v>
      </c>
      <c r="L76">
        <v>144</v>
      </c>
      <c r="M76">
        <v>14400</v>
      </c>
    </row>
    <row r="77" spans="1:13" x14ac:dyDescent="0.35">
      <c r="A77" t="s">
        <v>92</v>
      </c>
      <c r="B77">
        <v>4568</v>
      </c>
      <c r="C77">
        <v>1448</v>
      </c>
      <c r="D77">
        <v>368</v>
      </c>
      <c r="E77" t="s">
        <v>565</v>
      </c>
      <c r="F77">
        <v>570</v>
      </c>
      <c r="G77" t="s">
        <v>566</v>
      </c>
      <c r="H77">
        <v>5784</v>
      </c>
      <c r="I77">
        <v>789</v>
      </c>
      <c r="J77">
        <v>188</v>
      </c>
      <c r="K77" t="s">
        <v>567</v>
      </c>
      <c r="L77">
        <v>295</v>
      </c>
      <c r="M77" t="s">
        <v>319</v>
      </c>
    </row>
    <row r="78" spans="1:13" x14ac:dyDescent="0.35">
      <c r="A78" t="s">
        <v>338</v>
      </c>
      <c r="B78">
        <v>4459</v>
      </c>
      <c r="C78">
        <v>82</v>
      </c>
      <c r="D78">
        <v>5</v>
      </c>
      <c r="E78" t="s">
        <v>568</v>
      </c>
      <c r="F78">
        <v>5</v>
      </c>
      <c r="G78" t="s">
        <v>352</v>
      </c>
      <c r="H78">
        <v>4891</v>
      </c>
      <c r="I78">
        <v>62</v>
      </c>
      <c r="J78">
        <v>1</v>
      </c>
      <c r="K78" t="s">
        <v>569</v>
      </c>
      <c r="L78">
        <v>1</v>
      </c>
      <c r="M78" t="s">
        <v>339</v>
      </c>
    </row>
    <row r="79" spans="1:13" x14ac:dyDescent="0.35">
      <c r="A79" t="s">
        <v>100</v>
      </c>
      <c r="B79">
        <v>4447</v>
      </c>
      <c r="C79">
        <v>471</v>
      </c>
      <c r="D79">
        <v>52</v>
      </c>
      <c r="E79" t="s">
        <v>570</v>
      </c>
      <c r="F79">
        <v>75</v>
      </c>
      <c r="G79">
        <v>7500</v>
      </c>
      <c r="H79">
        <v>9548</v>
      </c>
      <c r="I79">
        <v>450</v>
      </c>
      <c r="J79">
        <v>31</v>
      </c>
      <c r="K79" t="s">
        <v>571</v>
      </c>
      <c r="L79">
        <v>37</v>
      </c>
      <c r="M79">
        <v>3700</v>
      </c>
    </row>
    <row r="80" spans="1:13" x14ac:dyDescent="0.35">
      <c r="A80" t="s">
        <v>340</v>
      </c>
      <c r="B80">
        <v>4361</v>
      </c>
      <c r="C80">
        <v>79</v>
      </c>
      <c r="D80">
        <v>7</v>
      </c>
      <c r="E80" t="s">
        <v>572</v>
      </c>
      <c r="F80">
        <v>7</v>
      </c>
      <c r="G80" t="s">
        <v>573</v>
      </c>
      <c r="H80">
        <v>4748</v>
      </c>
      <c r="I80">
        <v>95</v>
      </c>
      <c r="J80">
        <v>3</v>
      </c>
      <c r="K80" t="s">
        <v>574</v>
      </c>
      <c r="L80">
        <v>3</v>
      </c>
      <c r="M80" t="s">
        <v>341</v>
      </c>
    </row>
    <row r="81" spans="1:13" x14ac:dyDescent="0.35">
      <c r="A81" t="s">
        <v>342</v>
      </c>
      <c r="B81">
        <v>4301</v>
      </c>
      <c r="C81">
        <v>8</v>
      </c>
      <c r="D81">
        <v>2</v>
      </c>
      <c r="E81" t="s">
        <v>575</v>
      </c>
      <c r="F81">
        <v>2</v>
      </c>
      <c r="G81" t="s">
        <v>343</v>
      </c>
      <c r="H81">
        <v>4725</v>
      </c>
      <c r="I81">
        <v>9</v>
      </c>
      <c r="J81">
        <v>2</v>
      </c>
      <c r="K81" t="s">
        <v>483</v>
      </c>
      <c r="L81">
        <v>2</v>
      </c>
      <c r="M81" t="s">
        <v>343</v>
      </c>
    </row>
    <row r="82" spans="1:13" x14ac:dyDescent="0.35">
      <c r="A82" t="s">
        <v>344</v>
      </c>
      <c r="B82">
        <v>4255</v>
      </c>
      <c r="C82">
        <v>19</v>
      </c>
      <c r="D82">
        <v>8</v>
      </c>
      <c r="E82" t="s">
        <v>576</v>
      </c>
      <c r="F82">
        <v>9</v>
      </c>
      <c r="G82" t="s">
        <v>556</v>
      </c>
      <c r="H82">
        <v>4697</v>
      </c>
      <c r="I82">
        <v>10</v>
      </c>
      <c r="J82">
        <v>3</v>
      </c>
      <c r="K82" t="s">
        <v>577</v>
      </c>
      <c r="L82">
        <v>3</v>
      </c>
      <c r="M82" t="s">
        <v>325</v>
      </c>
    </row>
    <row r="83" spans="1:13" x14ac:dyDescent="0.35">
      <c r="A83" t="s">
        <v>345</v>
      </c>
      <c r="B83">
        <v>4238</v>
      </c>
      <c r="C83">
        <v>22</v>
      </c>
      <c r="D83">
        <v>10</v>
      </c>
      <c r="E83" t="s">
        <v>578</v>
      </c>
      <c r="F83">
        <v>15</v>
      </c>
      <c r="G83" t="s">
        <v>579</v>
      </c>
      <c r="H83">
        <v>4613</v>
      </c>
      <c r="I83">
        <v>18</v>
      </c>
      <c r="J83">
        <v>8</v>
      </c>
      <c r="K83" t="s">
        <v>580</v>
      </c>
      <c r="L83">
        <v>9</v>
      </c>
      <c r="M83" t="s">
        <v>346</v>
      </c>
    </row>
    <row r="84" spans="1:13" x14ac:dyDescent="0.35">
      <c r="A84" t="s">
        <v>101</v>
      </c>
      <c r="B84">
        <v>4033</v>
      </c>
      <c r="C84">
        <v>644</v>
      </c>
      <c r="D84">
        <v>55</v>
      </c>
      <c r="E84" t="s">
        <v>581</v>
      </c>
      <c r="F84">
        <v>68</v>
      </c>
      <c r="G84">
        <v>10200</v>
      </c>
      <c r="H84">
        <v>9131</v>
      </c>
      <c r="I84">
        <v>761</v>
      </c>
      <c r="J84">
        <v>106</v>
      </c>
      <c r="K84" t="s">
        <v>582</v>
      </c>
      <c r="L84">
        <v>171</v>
      </c>
      <c r="M84">
        <v>25650</v>
      </c>
    </row>
    <row r="85" spans="1:13" x14ac:dyDescent="0.35">
      <c r="A85" t="s">
        <v>113</v>
      </c>
      <c r="B85">
        <v>3289</v>
      </c>
      <c r="C85">
        <v>234</v>
      </c>
      <c r="D85">
        <v>5</v>
      </c>
      <c r="E85" t="s">
        <v>583</v>
      </c>
      <c r="F85">
        <v>5</v>
      </c>
      <c r="G85" t="s">
        <v>584</v>
      </c>
      <c r="H85">
        <v>3817</v>
      </c>
      <c r="I85">
        <v>283</v>
      </c>
      <c r="J85">
        <v>3</v>
      </c>
      <c r="K85" t="s">
        <v>585</v>
      </c>
      <c r="L85">
        <v>3</v>
      </c>
      <c r="M85" t="s">
        <v>347</v>
      </c>
    </row>
    <row r="86" spans="1:13" x14ac:dyDescent="0.35">
      <c r="A86" t="s">
        <v>115</v>
      </c>
      <c r="B86">
        <v>3119</v>
      </c>
      <c r="C86">
        <v>378</v>
      </c>
      <c r="D86">
        <v>24</v>
      </c>
      <c r="E86" t="s">
        <v>586</v>
      </c>
      <c r="F86">
        <v>30</v>
      </c>
      <c r="G86">
        <v>30000</v>
      </c>
      <c r="H86">
        <v>3654</v>
      </c>
      <c r="I86">
        <v>434</v>
      </c>
      <c r="J86">
        <v>22</v>
      </c>
      <c r="K86" t="s">
        <v>587</v>
      </c>
      <c r="L86">
        <v>28</v>
      </c>
      <c r="M86">
        <v>28000</v>
      </c>
    </row>
    <row r="87" spans="1:13" x14ac:dyDescent="0.35">
      <c r="A87" t="s">
        <v>112</v>
      </c>
      <c r="B87">
        <v>3075</v>
      </c>
      <c r="C87">
        <v>250</v>
      </c>
      <c r="D87">
        <v>37</v>
      </c>
      <c r="E87" t="s">
        <v>588</v>
      </c>
      <c r="F87">
        <v>53</v>
      </c>
      <c r="G87">
        <v>3975</v>
      </c>
      <c r="H87">
        <v>4040</v>
      </c>
      <c r="I87">
        <v>274</v>
      </c>
      <c r="J87">
        <v>28</v>
      </c>
      <c r="K87" t="s">
        <v>589</v>
      </c>
      <c r="L87">
        <v>43</v>
      </c>
      <c r="M87">
        <v>3225</v>
      </c>
    </row>
    <row r="88" spans="1:13" x14ac:dyDescent="0.35">
      <c r="A88" t="s">
        <v>117</v>
      </c>
      <c r="B88">
        <v>2725</v>
      </c>
      <c r="C88">
        <v>179</v>
      </c>
      <c r="D88">
        <v>46</v>
      </c>
      <c r="E88" t="s">
        <v>590</v>
      </c>
      <c r="F88">
        <v>54</v>
      </c>
      <c r="G88">
        <v>5400</v>
      </c>
      <c r="H88">
        <v>3520</v>
      </c>
      <c r="I88">
        <v>189</v>
      </c>
      <c r="J88">
        <v>49</v>
      </c>
      <c r="K88" t="s">
        <v>591</v>
      </c>
      <c r="L88">
        <v>55</v>
      </c>
      <c r="M88">
        <v>5500</v>
      </c>
    </row>
    <row r="89" spans="1:13" x14ac:dyDescent="0.35">
      <c r="A89" t="s">
        <v>136</v>
      </c>
      <c r="B89">
        <v>2629</v>
      </c>
      <c r="C89">
        <v>99</v>
      </c>
      <c r="D89">
        <v>6</v>
      </c>
      <c r="E89" t="s">
        <v>592</v>
      </c>
      <c r="F89">
        <v>9</v>
      </c>
      <c r="G89">
        <v>4500</v>
      </c>
      <c r="H89">
        <v>2317</v>
      </c>
      <c r="I89">
        <v>146</v>
      </c>
      <c r="J89">
        <v>7</v>
      </c>
      <c r="K89" t="s">
        <v>593</v>
      </c>
      <c r="L89">
        <v>10</v>
      </c>
      <c r="M89">
        <v>5000</v>
      </c>
    </row>
    <row r="90" spans="1:13" x14ac:dyDescent="0.35">
      <c r="A90" t="s">
        <v>111</v>
      </c>
      <c r="B90">
        <v>2598</v>
      </c>
      <c r="C90">
        <v>420</v>
      </c>
      <c r="D90">
        <v>4</v>
      </c>
      <c r="E90" t="s">
        <v>594</v>
      </c>
      <c r="F90">
        <v>6</v>
      </c>
      <c r="G90">
        <v>450</v>
      </c>
      <c r="H90">
        <v>4575</v>
      </c>
      <c r="I90">
        <v>441</v>
      </c>
      <c r="J90">
        <v>7</v>
      </c>
      <c r="K90" t="s">
        <v>595</v>
      </c>
      <c r="L90">
        <v>7</v>
      </c>
      <c r="M90">
        <v>525</v>
      </c>
    </row>
    <row r="91" spans="1:13" x14ac:dyDescent="0.35">
      <c r="A91" t="s">
        <v>120</v>
      </c>
      <c r="B91">
        <v>2518</v>
      </c>
      <c r="C91">
        <v>263</v>
      </c>
      <c r="D91">
        <v>83</v>
      </c>
      <c r="E91" t="s">
        <v>596</v>
      </c>
      <c r="F91">
        <v>125</v>
      </c>
      <c r="G91">
        <v>18750</v>
      </c>
      <c r="H91">
        <v>3068</v>
      </c>
      <c r="I91">
        <v>230</v>
      </c>
      <c r="J91">
        <v>75</v>
      </c>
      <c r="K91" t="s">
        <v>597</v>
      </c>
      <c r="L91">
        <v>112</v>
      </c>
      <c r="M91">
        <v>16800</v>
      </c>
    </row>
    <row r="92" spans="1:13" x14ac:dyDescent="0.35">
      <c r="A92" t="s">
        <v>148</v>
      </c>
      <c r="B92">
        <v>2499</v>
      </c>
      <c r="C92">
        <v>186</v>
      </c>
      <c r="D92">
        <v>0</v>
      </c>
      <c r="E92">
        <v>0</v>
      </c>
      <c r="F92">
        <v>0</v>
      </c>
      <c r="G92">
        <v>0</v>
      </c>
      <c r="H92">
        <v>2179</v>
      </c>
      <c r="I92">
        <v>185</v>
      </c>
      <c r="J92">
        <v>3</v>
      </c>
      <c r="K92" t="s">
        <v>598</v>
      </c>
      <c r="L92">
        <v>4</v>
      </c>
      <c r="M92">
        <v>20000</v>
      </c>
    </row>
    <row r="93" spans="1:13" x14ac:dyDescent="0.35">
      <c r="A93" t="s">
        <v>123</v>
      </c>
      <c r="B93">
        <v>2343</v>
      </c>
      <c r="C93">
        <v>149</v>
      </c>
      <c r="D93">
        <v>23</v>
      </c>
      <c r="E93" t="s">
        <v>599</v>
      </c>
      <c r="F93">
        <v>24</v>
      </c>
      <c r="G93" t="s">
        <v>600</v>
      </c>
      <c r="H93">
        <v>3164</v>
      </c>
      <c r="I93">
        <v>158</v>
      </c>
      <c r="J93">
        <v>23</v>
      </c>
      <c r="K93" t="s">
        <v>601</v>
      </c>
      <c r="L93">
        <v>26</v>
      </c>
      <c r="M93">
        <v>2600</v>
      </c>
    </row>
    <row r="94" spans="1:13" x14ac:dyDescent="0.35">
      <c r="A94" t="s">
        <v>129</v>
      </c>
      <c r="B94">
        <v>2270</v>
      </c>
      <c r="C94">
        <v>4</v>
      </c>
      <c r="D94">
        <v>1</v>
      </c>
      <c r="E94" t="s">
        <v>575</v>
      </c>
      <c r="F94">
        <v>1</v>
      </c>
      <c r="G94" t="s">
        <v>602</v>
      </c>
      <c r="H94">
        <v>2526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 t="s">
        <v>131</v>
      </c>
      <c r="B95">
        <v>2231</v>
      </c>
      <c r="C95">
        <v>0</v>
      </c>
      <c r="D95">
        <v>0</v>
      </c>
      <c r="E95"/>
      <c r="F95">
        <v>0</v>
      </c>
      <c r="G95">
        <v>0</v>
      </c>
      <c r="H95">
        <v>2497</v>
      </c>
      <c r="I95">
        <v>3</v>
      </c>
      <c r="J95">
        <v>1</v>
      </c>
      <c r="K95" t="s">
        <v>440</v>
      </c>
      <c r="L95">
        <v>1</v>
      </c>
      <c r="M95" t="s">
        <v>349</v>
      </c>
    </row>
    <row r="96" spans="1:13" x14ac:dyDescent="0.35">
      <c r="A96" t="s">
        <v>121</v>
      </c>
      <c r="B96">
        <v>2190</v>
      </c>
      <c r="C96">
        <v>108</v>
      </c>
      <c r="D96">
        <v>5</v>
      </c>
      <c r="E96" t="s">
        <v>603</v>
      </c>
      <c r="F96">
        <v>5</v>
      </c>
      <c r="G96">
        <v>375</v>
      </c>
      <c r="H96">
        <v>2383</v>
      </c>
      <c r="I96">
        <v>111</v>
      </c>
      <c r="J96">
        <v>1</v>
      </c>
      <c r="K96" t="s">
        <v>604</v>
      </c>
      <c r="L96">
        <v>1</v>
      </c>
      <c r="M96">
        <v>75</v>
      </c>
    </row>
    <row r="97" spans="1:13" x14ac:dyDescent="0.35">
      <c r="A97" t="s">
        <v>125</v>
      </c>
      <c r="B97">
        <v>2182</v>
      </c>
      <c r="C97">
        <v>1077</v>
      </c>
      <c r="D97">
        <v>36</v>
      </c>
      <c r="E97" t="s">
        <v>605</v>
      </c>
      <c r="F97">
        <v>56</v>
      </c>
      <c r="G97" t="s">
        <v>606</v>
      </c>
      <c r="H97">
        <v>2895</v>
      </c>
      <c r="I97">
        <v>2567</v>
      </c>
      <c r="J97">
        <v>36</v>
      </c>
      <c r="K97" t="s">
        <v>607</v>
      </c>
      <c r="L97">
        <v>65</v>
      </c>
      <c r="M97">
        <v>9750</v>
      </c>
    </row>
    <row r="98" spans="1:13" x14ac:dyDescent="0.35">
      <c r="A98" t="s">
        <v>128</v>
      </c>
      <c r="B98">
        <v>2181</v>
      </c>
      <c r="C98">
        <v>128</v>
      </c>
      <c r="D98">
        <v>1</v>
      </c>
      <c r="E98" t="s">
        <v>608</v>
      </c>
      <c r="F98">
        <v>1</v>
      </c>
      <c r="G98" t="s">
        <v>348</v>
      </c>
      <c r="H98">
        <v>2574</v>
      </c>
      <c r="I98">
        <v>142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 t="s">
        <v>134</v>
      </c>
      <c r="B99">
        <v>2179</v>
      </c>
      <c r="C99">
        <v>8</v>
      </c>
      <c r="D99">
        <v>1</v>
      </c>
      <c r="E99" t="s">
        <v>506</v>
      </c>
      <c r="F99">
        <v>1</v>
      </c>
      <c r="G99" t="s">
        <v>352</v>
      </c>
      <c r="H99">
        <v>2412</v>
      </c>
      <c r="I99">
        <v>3</v>
      </c>
      <c r="J99">
        <v>2</v>
      </c>
      <c r="K99" t="s">
        <v>609</v>
      </c>
      <c r="L99">
        <v>2</v>
      </c>
      <c r="M99" t="s">
        <v>351</v>
      </c>
    </row>
    <row r="100" spans="1:13" x14ac:dyDescent="0.35">
      <c r="A100" t="s">
        <v>135</v>
      </c>
      <c r="B100">
        <v>2134</v>
      </c>
      <c r="C100">
        <v>46</v>
      </c>
      <c r="D100">
        <v>0</v>
      </c>
      <c r="E100">
        <v>0</v>
      </c>
      <c r="F100">
        <v>0</v>
      </c>
      <c r="G100">
        <v>0</v>
      </c>
      <c r="H100">
        <v>2376</v>
      </c>
      <c r="I100">
        <v>82</v>
      </c>
      <c r="J100">
        <v>0</v>
      </c>
      <c r="K100">
        <v>0</v>
      </c>
      <c r="L100">
        <v>0</v>
      </c>
      <c r="M100">
        <v>0</v>
      </c>
    </row>
    <row r="101" spans="1:13" x14ac:dyDescent="0.35">
      <c r="A101" t="s">
        <v>139</v>
      </c>
      <c r="B101">
        <v>2124</v>
      </c>
      <c r="C101">
        <v>93</v>
      </c>
      <c r="D101">
        <v>0</v>
      </c>
      <c r="E101">
        <v>0</v>
      </c>
      <c r="F101">
        <v>0</v>
      </c>
      <c r="G101">
        <v>0</v>
      </c>
      <c r="H101">
        <v>2362</v>
      </c>
      <c r="I101">
        <v>137</v>
      </c>
      <c r="J101">
        <v>0</v>
      </c>
      <c r="K101">
        <v>0</v>
      </c>
      <c r="L101">
        <v>0</v>
      </c>
      <c r="M101">
        <v>0</v>
      </c>
    </row>
    <row r="102" spans="1:13" x14ac:dyDescent="0.35">
      <c r="A102" t="s">
        <v>142</v>
      </c>
      <c r="B102">
        <v>2124</v>
      </c>
      <c r="C102">
        <v>61</v>
      </c>
      <c r="D102">
        <v>0</v>
      </c>
      <c r="E102">
        <v>0</v>
      </c>
      <c r="F102">
        <v>0</v>
      </c>
      <c r="G102">
        <v>0</v>
      </c>
      <c r="H102">
        <v>2362</v>
      </c>
      <c r="I102">
        <v>65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 t="s">
        <v>140</v>
      </c>
      <c r="B103">
        <v>2124</v>
      </c>
      <c r="C103">
        <v>42</v>
      </c>
      <c r="D103">
        <v>0</v>
      </c>
      <c r="E103">
        <v>0</v>
      </c>
      <c r="F103">
        <v>0</v>
      </c>
      <c r="G103">
        <v>0</v>
      </c>
      <c r="H103">
        <v>2362</v>
      </c>
      <c r="I103">
        <v>49</v>
      </c>
      <c r="J103">
        <v>0</v>
      </c>
      <c r="K103">
        <v>0</v>
      </c>
      <c r="L103">
        <v>0</v>
      </c>
      <c r="M103">
        <v>0</v>
      </c>
    </row>
    <row r="104" spans="1:13" x14ac:dyDescent="0.35">
      <c r="A104" t="s">
        <v>141</v>
      </c>
      <c r="B104">
        <v>2124</v>
      </c>
      <c r="C104">
        <v>24</v>
      </c>
      <c r="D104">
        <v>0</v>
      </c>
      <c r="E104">
        <v>0</v>
      </c>
      <c r="F104">
        <v>0</v>
      </c>
      <c r="G104">
        <v>0</v>
      </c>
      <c r="H104">
        <v>2362</v>
      </c>
      <c r="I104">
        <v>39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 t="s">
        <v>122</v>
      </c>
      <c r="B105">
        <v>2070</v>
      </c>
      <c r="C105">
        <v>240</v>
      </c>
      <c r="D105">
        <v>9</v>
      </c>
      <c r="E105" t="s">
        <v>610</v>
      </c>
      <c r="F105">
        <v>11</v>
      </c>
      <c r="G105">
        <v>825</v>
      </c>
      <c r="H105">
        <v>2669</v>
      </c>
      <c r="I105">
        <v>187</v>
      </c>
      <c r="J105">
        <v>9</v>
      </c>
      <c r="K105" t="s">
        <v>611</v>
      </c>
      <c r="L105">
        <v>20</v>
      </c>
      <c r="M105">
        <v>1500</v>
      </c>
    </row>
    <row r="106" spans="1:13" x14ac:dyDescent="0.35">
      <c r="A106" t="s">
        <v>143</v>
      </c>
      <c r="B106">
        <v>1994</v>
      </c>
      <c r="C106">
        <v>230</v>
      </c>
      <c r="D106">
        <v>1</v>
      </c>
      <c r="E106" t="s">
        <v>612</v>
      </c>
      <c r="F106">
        <v>2</v>
      </c>
      <c r="G106">
        <v>200</v>
      </c>
      <c r="H106">
        <v>2378</v>
      </c>
      <c r="I106">
        <v>157</v>
      </c>
      <c r="J106">
        <v>1</v>
      </c>
      <c r="K106" t="s">
        <v>613</v>
      </c>
      <c r="L106">
        <v>2</v>
      </c>
      <c r="M106">
        <v>200</v>
      </c>
    </row>
    <row r="107" spans="1:13" x14ac:dyDescent="0.35">
      <c r="A107" t="s">
        <v>126</v>
      </c>
      <c r="B107">
        <v>1987</v>
      </c>
      <c r="C107">
        <v>224</v>
      </c>
      <c r="D107">
        <v>27</v>
      </c>
      <c r="E107" t="s">
        <v>614</v>
      </c>
      <c r="F107">
        <v>36</v>
      </c>
      <c r="G107" t="s">
        <v>615</v>
      </c>
      <c r="H107">
        <v>2655</v>
      </c>
      <c r="I107">
        <v>273</v>
      </c>
      <c r="J107">
        <v>36</v>
      </c>
      <c r="K107" t="s">
        <v>616</v>
      </c>
      <c r="L107">
        <v>63</v>
      </c>
      <c r="M107">
        <v>12600</v>
      </c>
    </row>
    <row r="108" spans="1:13" x14ac:dyDescent="0.35">
      <c r="A108" t="s">
        <v>170</v>
      </c>
      <c r="B108">
        <v>1939</v>
      </c>
      <c r="C108">
        <v>495</v>
      </c>
      <c r="D108">
        <v>18</v>
      </c>
      <c r="E108" t="s">
        <v>617</v>
      </c>
      <c r="F108">
        <v>18</v>
      </c>
      <c r="G108">
        <v>1800</v>
      </c>
      <c r="H108">
        <v>2667</v>
      </c>
      <c r="I108">
        <v>609</v>
      </c>
      <c r="J108">
        <v>11</v>
      </c>
      <c r="K108" t="s">
        <v>618</v>
      </c>
      <c r="L108">
        <v>14</v>
      </c>
      <c r="M108">
        <v>1400</v>
      </c>
    </row>
    <row r="109" spans="1:13" x14ac:dyDescent="0.35">
      <c r="A109" t="s">
        <v>154</v>
      </c>
      <c r="B109">
        <v>1913</v>
      </c>
      <c r="C109">
        <v>107</v>
      </c>
      <c r="D109">
        <v>1</v>
      </c>
      <c r="E109" t="s">
        <v>619</v>
      </c>
      <c r="F109">
        <v>1</v>
      </c>
      <c r="G109">
        <v>150</v>
      </c>
      <c r="H109">
        <v>2079</v>
      </c>
      <c r="I109">
        <v>140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 t="s">
        <v>127</v>
      </c>
      <c r="B110">
        <v>1878</v>
      </c>
      <c r="C110">
        <v>208</v>
      </c>
      <c r="D110">
        <v>3</v>
      </c>
      <c r="E110" t="s">
        <v>620</v>
      </c>
      <c r="F110">
        <v>4</v>
      </c>
      <c r="G110">
        <v>2000</v>
      </c>
      <c r="H110">
        <v>2349</v>
      </c>
      <c r="I110">
        <v>307</v>
      </c>
      <c r="J110">
        <v>4</v>
      </c>
      <c r="K110" t="s">
        <v>621</v>
      </c>
      <c r="L110">
        <v>4</v>
      </c>
      <c r="M110">
        <v>2000</v>
      </c>
    </row>
    <row r="111" spans="1:13" x14ac:dyDescent="0.35">
      <c r="A111" t="s">
        <v>156</v>
      </c>
      <c r="B111">
        <v>1877</v>
      </c>
      <c r="C111">
        <v>112</v>
      </c>
      <c r="D111">
        <v>12</v>
      </c>
      <c r="E111" t="s">
        <v>622</v>
      </c>
      <c r="F111">
        <v>16</v>
      </c>
      <c r="G111" t="s">
        <v>623</v>
      </c>
      <c r="H111">
        <v>1799</v>
      </c>
      <c r="I111">
        <v>131</v>
      </c>
      <c r="J111">
        <v>5</v>
      </c>
      <c r="K111" t="s">
        <v>624</v>
      </c>
      <c r="L111">
        <v>5</v>
      </c>
      <c r="M111" t="s">
        <v>355</v>
      </c>
    </row>
    <row r="112" spans="1:13" x14ac:dyDescent="0.35">
      <c r="A112" t="s">
        <v>145</v>
      </c>
      <c r="B112">
        <v>1867</v>
      </c>
      <c r="C112">
        <v>40</v>
      </c>
      <c r="D112">
        <v>2</v>
      </c>
      <c r="E112" t="s">
        <v>625</v>
      </c>
      <c r="F112">
        <v>2</v>
      </c>
      <c r="G112" t="s">
        <v>626</v>
      </c>
      <c r="H112">
        <v>2246</v>
      </c>
      <c r="I112">
        <v>67</v>
      </c>
      <c r="J112">
        <v>1</v>
      </c>
      <c r="K112" t="s">
        <v>491</v>
      </c>
      <c r="L112">
        <v>2</v>
      </c>
      <c r="M112" t="s">
        <v>353</v>
      </c>
    </row>
    <row r="113" spans="1:13" x14ac:dyDescent="0.35">
      <c r="A113" t="s">
        <v>149</v>
      </c>
      <c r="B113">
        <v>1838</v>
      </c>
      <c r="C113">
        <v>34</v>
      </c>
      <c r="D113">
        <v>1</v>
      </c>
      <c r="E113" t="s">
        <v>553</v>
      </c>
      <c r="F113">
        <v>1</v>
      </c>
      <c r="G113" t="s">
        <v>627</v>
      </c>
      <c r="H113">
        <v>2177</v>
      </c>
      <c r="I113">
        <v>69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 t="s">
        <v>237</v>
      </c>
      <c r="B114">
        <v>1828</v>
      </c>
      <c r="C114">
        <v>86</v>
      </c>
      <c r="D114">
        <v>5</v>
      </c>
      <c r="E114" t="s">
        <v>628</v>
      </c>
      <c r="F114">
        <v>5</v>
      </c>
      <c r="G114">
        <v>500</v>
      </c>
      <c r="H114">
        <v>2092</v>
      </c>
      <c r="I114">
        <v>89</v>
      </c>
      <c r="J114">
        <v>9</v>
      </c>
      <c r="K114" t="s">
        <v>629</v>
      </c>
      <c r="L114">
        <v>13</v>
      </c>
      <c r="M114">
        <v>1300</v>
      </c>
    </row>
    <row r="115" spans="1:13" x14ac:dyDescent="0.35">
      <c r="A115" t="s">
        <v>211</v>
      </c>
      <c r="B115">
        <v>1824</v>
      </c>
      <c r="C115">
        <v>96</v>
      </c>
      <c r="D115">
        <v>0</v>
      </c>
      <c r="E115">
        <v>0</v>
      </c>
      <c r="F115">
        <v>0</v>
      </c>
      <c r="G115">
        <v>0</v>
      </c>
      <c r="H115">
        <v>890</v>
      </c>
      <c r="I115">
        <v>83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 t="s">
        <v>160</v>
      </c>
      <c r="B116">
        <v>1818</v>
      </c>
      <c r="C116">
        <v>82</v>
      </c>
      <c r="D116">
        <v>13</v>
      </c>
      <c r="E116" t="s">
        <v>630</v>
      </c>
      <c r="F116">
        <v>17</v>
      </c>
      <c r="G116" t="s">
        <v>631</v>
      </c>
      <c r="H116">
        <v>1756</v>
      </c>
      <c r="I116">
        <v>65</v>
      </c>
      <c r="J116">
        <v>13</v>
      </c>
      <c r="K116" t="s">
        <v>632</v>
      </c>
      <c r="L116">
        <v>15</v>
      </c>
      <c r="M116" t="s">
        <v>356</v>
      </c>
    </row>
    <row r="117" spans="1:13" x14ac:dyDescent="0.35">
      <c r="A117" t="s">
        <v>150</v>
      </c>
      <c r="B117">
        <v>1814</v>
      </c>
      <c r="C117">
        <v>80</v>
      </c>
      <c r="D117">
        <v>6</v>
      </c>
      <c r="E117" t="s">
        <v>633</v>
      </c>
      <c r="F117">
        <v>9</v>
      </c>
      <c r="G117" t="s">
        <v>634</v>
      </c>
      <c r="H117">
        <v>2161</v>
      </c>
      <c r="I117">
        <v>106</v>
      </c>
      <c r="J117">
        <v>6</v>
      </c>
      <c r="K117" t="s">
        <v>536</v>
      </c>
      <c r="L117">
        <v>6</v>
      </c>
      <c r="M117" t="s">
        <v>354</v>
      </c>
    </row>
    <row r="118" spans="1:13" x14ac:dyDescent="0.35">
      <c r="A118" t="s">
        <v>155</v>
      </c>
      <c r="B118">
        <v>1801</v>
      </c>
      <c r="C118">
        <v>33</v>
      </c>
      <c r="D118">
        <v>1</v>
      </c>
      <c r="E118" t="s">
        <v>635</v>
      </c>
      <c r="F118">
        <v>1</v>
      </c>
      <c r="G118">
        <v>200</v>
      </c>
      <c r="H118">
        <v>1977</v>
      </c>
      <c r="I118">
        <v>52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 t="s">
        <v>158</v>
      </c>
      <c r="B119">
        <v>1778</v>
      </c>
      <c r="C119">
        <v>58</v>
      </c>
      <c r="D119">
        <v>0</v>
      </c>
      <c r="E119">
        <v>0</v>
      </c>
      <c r="F119">
        <v>0</v>
      </c>
      <c r="G119">
        <v>0</v>
      </c>
      <c r="H119">
        <v>1977</v>
      </c>
      <c r="I119">
        <v>57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 t="s">
        <v>168</v>
      </c>
      <c r="B120">
        <v>1756</v>
      </c>
      <c r="C120">
        <v>110</v>
      </c>
      <c r="D120">
        <v>40</v>
      </c>
      <c r="E120" t="s">
        <v>422</v>
      </c>
      <c r="F120">
        <v>50</v>
      </c>
      <c r="G120" t="s">
        <v>636</v>
      </c>
      <c r="H120">
        <v>1644</v>
      </c>
      <c r="I120">
        <v>91</v>
      </c>
      <c r="J120">
        <v>30</v>
      </c>
      <c r="K120" t="s">
        <v>637</v>
      </c>
      <c r="L120">
        <v>38</v>
      </c>
      <c r="M120" t="s">
        <v>357</v>
      </c>
    </row>
    <row r="121" spans="1:13" x14ac:dyDescent="0.35">
      <c r="A121" t="s">
        <v>163</v>
      </c>
      <c r="B121">
        <v>1728</v>
      </c>
      <c r="C121">
        <v>60</v>
      </c>
      <c r="D121">
        <v>11</v>
      </c>
      <c r="E121" t="s">
        <v>638</v>
      </c>
      <c r="F121">
        <v>14</v>
      </c>
      <c r="G121">
        <v>4200</v>
      </c>
      <c r="H121">
        <v>1987</v>
      </c>
      <c r="I121">
        <v>73</v>
      </c>
      <c r="J121">
        <v>11</v>
      </c>
      <c r="K121" t="s">
        <v>639</v>
      </c>
      <c r="L121">
        <v>12</v>
      </c>
      <c r="M121">
        <v>3600</v>
      </c>
    </row>
    <row r="122" spans="1:13" x14ac:dyDescent="0.35">
      <c r="A122" t="s">
        <v>161</v>
      </c>
      <c r="B122">
        <v>1728</v>
      </c>
      <c r="C122">
        <v>50</v>
      </c>
      <c r="D122">
        <v>2</v>
      </c>
      <c r="E122" t="s">
        <v>640</v>
      </c>
      <c r="F122">
        <v>3</v>
      </c>
      <c r="G122">
        <v>600</v>
      </c>
      <c r="H122">
        <v>2020</v>
      </c>
      <c r="I122">
        <v>64</v>
      </c>
      <c r="J122">
        <v>4</v>
      </c>
      <c r="K122" t="s">
        <v>641</v>
      </c>
      <c r="L122">
        <v>5</v>
      </c>
      <c r="M122">
        <v>1000</v>
      </c>
    </row>
    <row r="123" spans="1:13" x14ac:dyDescent="0.35">
      <c r="A123" t="s">
        <v>162</v>
      </c>
      <c r="B123">
        <v>1713</v>
      </c>
      <c r="C123">
        <v>192</v>
      </c>
      <c r="D123">
        <v>2</v>
      </c>
      <c r="E123" t="s">
        <v>642</v>
      </c>
      <c r="F123">
        <v>3</v>
      </c>
      <c r="G123">
        <v>1500</v>
      </c>
      <c r="H123">
        <v>1889</v>
      </c>
      <c r="I123">
        <v>173</v>
      </c>
      <c r="J123">
        <v>3</v>
      </c>
      <c r="K123" t="s">
        <v>643</v>
      </c>
      <c r="L123">
        <v>8</v>
      </c>
      <c r="M123">
        <v>4000</v>
      </c>
    </row>
    <row r="124" spans="1:13" x14ac:dyDescent="0.35">
      <c r="A124" t="s">
        <v>137</v>
      </c>
      <c r="B124">
        <v>1671</v>
      </c>
      <c r="C124">
        <v>109</v>
      </c>
      <c r="D124">
        <v>2</v>
      </c>
      <c r="E124" t="s">
        <v>644</v>
      </c>
      <c r="F124">
        <v>2</v>
      </c>
      <c r="G124">
        <v>300</v>
      </c>
      <c r="H124">
        <v>2109</v>
      </c>
      <c r="I124">
        <v>156</v>
      </c>
      <c r="J124">
        <v>3</v>
      </c>
      <c r="K124" t="s">
        <v>645</v>
      </c>
      <c r="L124">
        <v>3</v>
      </c>
      <c r="M124">
        <v>450</v>
      </c>
    </row>
    <row r="125" spans="1:13" x14ac:dyDescent="0.35">
      <c r="A125" t="s">
        <v>166</v>
      </c>
      <c r="B125">
        <v>1649</v>
      </c>
      <c r="C125">
        <v>158</v>
      </c>
      <c r="D125">
        <v>4</v>
      </c>
      <c r="E125" t="s">
        <v>646</v>
      </c>
      <c r="F125">
        <v>4</v>
      </c>
      <c r="G125">
        <v>2000</v>
      </c>
      <c r="H125">
        <v>1926</v>
      </c>
      <c r="I125">
        <v>216</v>
      </c>
      <c r="J125">
        <v>4</v>
      </c>
      <c r="K125" t="s">
        <v>647</v>
      </c>
      <c r="L125">
        <v>5</v>
      </c>
      <c r="M125">
        <v>2500</v>
      </c>
    </row>
    <row r="126" spans="1:13" x14ac:dyDescent="0.35">
      <c r="A126" t="s">
        <v>223</v>
      </c>
      <c r="B126">
        <v>1622</v>
      </c>
      <c r="C126">
        <v>48</v>
      </c>
      <c r="D126">
        <v>0</v>
      </c>
      <c r="E126">
        <v>0</v>
      </c>
      <c r="F126">
        <v>0</v>
      </c>
      <c r="G126">
        <v>0</v>
      </c>
      <c r="H126">
        <v>736</v>
      </c>
      <c r="I126">
        <v>50</v>
      </c>
      <c r="J126">
        <v>1</v>
      </c>
      <c r="K126" t="s">
        <v>648</v>
      </c>
      <c r="L126">
        <v>1</v>
      </c>
      <c r="M126">
        <v>300</v>
      </c>
    </row>
    <row r="127" spans="1:13" x14ac:dyDescent="0.35">
      <c r="A127" t="s">
        <v>147</v>
      </c>
      <c r="B127">
        <v>1606</v>
      </c>
      <c r="C127">
        <v>15</v>
      </c>
      <c r="D127">
        <v>4</v>
      </c>
      <c r="E127" t="s">
        <v>649</v>
      </c>
      <c r="F127">
        <v>4</v>
      </c>
      <c r="G127">
        <v>300</v>
      </c>
      <c r="H127">
        <v>1771</v>
      </c>
      <c r="I127">
        <v>23</v>
      </c>
      <c r="J127">
        <v>3</v>
      </c>
      <c r="K127" t="s">
        <v>650</v>
      </c>
      <c r="L127">
        <v>3</v>
      </c>
      <c r="M127">
        <v>225</v>
      </c>
    </row>
    <row r="128" spans="1:13" x14ac:dyDescent="0.35">
      <c r="A128" t="s">
        <v>244</v>
      </c>
      <c r="B128">
        <v>1589</v>
      </c>
      <c r="C128">
        <v>57</v>
      </c>
      <c r="D128">
        <v>8</v>
      </c>
      <c r="E128" t="s">
        <v>651</v>
      </c>
      <c r="F128">
        <v>8</v>
      </c>
      <c r="G128">
        <v>1200</v>
      </c>
      <c r="H128">
        <v>1607</v>
      </c>
      <c r="I128">
        <v>93</v>
      </c>
      <c r="J128">
        <v>17</v>
      </c>
      <c r="K128" t="s">
        <v>652</v>
      </c>
      <c r="L128">
        <v>17</v>
      </c>
      <c r="M128">
        <v>2550</v>
      </c>
    </row>
    <row r="129" spans="1:13" x14ac:dyDescent="0.35">
      <c r="A129" t="s">
        <v>124</v>
      </c>
      <c r="B129">
        <v>1587</v>
      </c>
      <c r="C129">
        <v>94</v>
      </c>
      <c r="D129">
        <v>2</v>
      </c>
      <c r="E129" t="s">
        <v>653</v>
      </c>
      <c r="F129">
        <v>2</v>
      </c>
      <c r="G129">
        <v>200</v>
      </c>
      <c r="H129">
        <v>2290</v>
      </c>
      <c r="I129">
        <v>112</v>
      </c>
      <c r="J129">
        <v>3</v>
      </c>
      <c r="K129" t="s">
        <v>654</v>
      </c>
      <c r="L129">
        <v>3</v>
      </c>
      <c r="M129">
        <v>300</v>
      </c>
    </row>
    <row r="130" spans="1:13" x14ac:dyDescent="0.35">
      <c r="A130" t="s">
        <v>144</v>
      </c>
      <c r="B130">
        <v>1549</v>
      </c>
      <c r="C130">
        <v>43</v>
      </c>
      <c r="D130">
        <v>2</v>
      </c>
      <c r="E130" t="s">
        <v>655</v>
      </c>
      <c r="F130">
        <v>2</v>
      </c>
      <c r="G130">
        <v>400</v>
      </c>
      <c r="H130">
        <v>2040</v>
      </c>
      <c r="I130">
        <v>54</v>
      </c>
      <c r="J130">
        <v>2</v>
      </c>
      <c r="K130" t="s">
        <v>656</v>
      </c>
      <c r="L130">
        <v>3</v>
      </c>
      <c r="M130">
        <v>600</v>
      </c>
    </row>
    <row r="131" spans="1:13" x14ac:dyDescent="0.35">
      <c r="A131" t="s">
        <v>234</v>
      </c>
      <c r="B131">
        <v>1517</v>
      </c>
      <c r="C131">
        <v>37</v>
      </c>
      <c r="D131">
        <v>0</v>
      </c>
      <c r="E131">
        <v>0</v>
      </c>
      <c r="F131">
        <v>0</v>
      </c>
      <c r="G131">
        <v>0</v>
      </c>
      <c r="H131">
        <v>619</v>
      </c>
      <c r="I131">
        <v>39</v>
      </c>
      <c r="J131">
        <v>1</v>
      </c>
      <c r="K131" t="s">
        <v>657</v>
      </c>
      <c r="L131">
        <v>1</v>
      </c>
      <c r="M131">
        <v>500</v>
      </c>
    </row>
    <row r="132" spans="1:13" x14ac:dyDescent="0.35">
      <c r="A132" t="s">
        <v>146</v>
      </c>
      <c r="B132">
        <v>1500</v>
      </c>
      <c r="C132">
        <v>39</v>
      </c>
      <c r="D132">
        <v>2</v>
      </c>
      <c r="E132" t="s">
        <v>658</v>
      </c>
      <c r="F132">
        <v>3</v>
      </c>
      <c r="G132">
        <v>900</v>
      </c>
      <c r="H132">
        <v>2002</v>
      </c>
      <c r="I132">
        <v>66</v>
      </c>
      <c r="J132">
        <v>4</v>
      </c>
      <c r="K132" t="s">
        <v>592</v>
      </c>
      <c r="L132">
        <v>4</v>
      </c>
      <c r="M132">
        <v>1200</v>
      </c>
    </row>
    <row r="133" spans="1:13" x14ac:dyDescent="0.35">
      <c r="A133" t="s">
        <v>133</v>
      </c>
      <c r="B133">
        <v>1491</v>
      </c>
      <c r="C133">
        <v>63</v>
      </c>
      <c r="D133">
        <v>9</v>
      </c>
      <c r="E133" t="s">
        <v>659</v>
      </c>
      <c r="F133">
        <v>11</v>
      </c>
      <c r="G133">
        <v>1650</v>
      </c>
      <c r="H133">
        <v>1913</v>
      </c>
      <c r="I133">
        <v>103</v>
      </c>
      <c r="J133">
        <v>10</v>
      </c>
      <c r="K133" t="s">
        <v>660</v>
      </c>
      <c r="L133">
        <v>16</v>
      </c>
      <c r="M133">
        <v>2400</v>
      </c>
    </row>
    <row r="134" spans="1:13" x14ac:dyDescent="0.35">
      <c r="A134" t="s">
        <v>179</v>
      </c>
      <c r="B134">
        <v>1485</v>
      </c>
      <c r="C134">
        <v>37</v>
      </c>
      <c r="D134">
        <v>8</v>
      </c>
      <c r="E134" t="s">
        <v>661</v>
      </c>
      <c r="F134">
        <v>8</v>
      </c>
      <c r="G134">
        <v>600</v>
      </c>
      <c r="H134">
        <v>1974</v>
      </c>
      <c r="I134">
        <v>49</v>
      </c>
      <c r="J134">
        <v>8</v>
      </c>
      <c r="K134" t="s">
        <v>662</v>
      </c>
      <c r="L134">
        <v>8</v>
      </c>
      <c r="M134">
        <v>600</v>
      </c>
    </row>
    <row r="135" spans="1:13" x14ac:dyDescent="0.35">
      <c r="A135" t="s">
        <v>164</v>
      </c>
      <c r="B135">
        <v>1476</v>
      </c>
      <c r="C135">
        <v>20</v>
      </c>
      <c r="D135">
        <v>11</v>
      </c>
      <c r="E135" t="s">
        <v>663</v>
      </c>
      <c r="F135">
        <v>19</v>
      </c>
      <c r="G135">
        <v>2850</v>
      </c>
      <c r="H135">
        <v>1452</v>
      </c>
      <c r="I135">
        <v>10</v>
      </c>
      <c r="J135">
        <v>6</v>
      </c>
      <c r="K135" t="s">
        <v>664</v>
      </c>
      <c r="L135">
        <v>15</v>
      </c>
      <c r="M135">
        <v>2250</v>
      </c>
    </row>
    <row r="136" spans="1:13" x14ac:dyDescent="0.35">
      <c r="A136" t="s">
        <v>118</v>
      </c>
      <c r="B136">
        <v>1470</v>
      </c>
      <c r="C136">
        <v>127</v>
      </c>
      <c r="D136">
        <v>1</v>
      </c>
      <c r="E136" t="s">
        <v>665</v>
      </c>
      <c r="F136">
        <v>1</v>
      </c>
      <c r="G136">
        <v>75</v>
      </c>
      <c r="H136">
        <v>2961</v>
      </c>
      <c r="I136">
        <v>201</v>
      </c>
      <c r="J136">
        <v>3</v>
      </c>
      <c r="K136" t="s">
        <v>491</v>
      </c>
      <c r="L136">
        <v>3</v>
      </c>
      <c r="M136">
        <v>225</v>
      </c>
    </row>
    <row r="137" spans="1:13" x14ac:dyDescent="0.35">
      <c r="A137" t="s">
        <v>236</v>
      </c>
      <c r="B137">
        <v>1470</v>
      </c>
      <c r="C137">
        <v>64</v>
      </c>
      <c r="D137">
        <v>0</v>
      </c>
      <c r="E137">
        <v>0</v>
      </c>
      <c r="F137">
        <v>0</v>
      </c>
      <c r="G137">
        <v>0</v>
      </c>
      <c r="H137">
        <v>561</v>
      </c>
      <c r="I137">
        <v>63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 t="s">
        <v>167</v>
      </c>
      <c r="B138">
        <v>1452</v>
      </c>
      <c r="C138">
        <v>86</v>
      </c>
      <c r="D138">
        <v>14</v>
      </c>
      <c r="E138" t="s">
        <v>666</v>
      </c>
      <c r="F138">
        <v>19</v>
      </c>
      <c r="G138">
        <v>5700</v>
      </c>
      <c r="H138">
        <v>1422</v>
      </c>
      <c r="I138">
        <v>83</v>
      </c>
      <c r="J138">
        <v>10</v>
      </c>
      <c r="K138" t="s">
        <v>667</v>
      </c>
      <c r="L138">
        <v>15</v>
      </c>
      <c r="M138">
        <v>4500</v>
      </c>
    </row>
    <row r="139" spans="1:13" x14ac:dyDescent="0.35">
      <c r="A139" t="s">
        <v>151</v>
      </c>
      <c r="B139">
        <v>1452</v>
      </c>
      <c r="C139">
        <v>54</v>
      </c>
      <c r="D139">
        <v>3</v>
      </c>
      <c r="E139" t="s">
        <v>469</v>
      </c>
      <c r="F139">
        <v>3</v>
      </c>
      <c r="G139">
        <v>1500</v>
      </c>
      <c r="H139">
        <v>1945</v>
      </c>
      <c r="I139">
        <v>50</v>
      </c>
      <c r="J139">
        <v>5</v>
      </c>
      <c r="K139" t="s">
        <v>668</v>
      </c>
      <c r="L139">
        <v>5</v>
      </c>
      <c r="M139">
        <v>2500</v>
      </c>
    </row>
    <row r="140" spans="1:13" x14ac:dyDescent="0.35">
      <c r="A140" t="s">
        <v>152</v>
      </c>
      <c r="B140">
        <v>1416</v>
      </c>
      <c r="C140">
        <v>12</v>
      </c>
      <c r="D140">
        <v>3</v>
      </c>
      <c r="E140" t="s">
        <v>575</v>
      </c>
      <c r="F140">
        <v>5</v>
      </c>
      <c r="G140">
        <v>5000</v>
      </c>
      <c r="H140">
        <v>1903</v>
      </c>
      <c r="I140">
        <v>22</v>
      </c>
      <c r="J140">
        <v>5</v>
      </c>
      <c r="K140" t="s">
        <v>669</v>
      </c>
      <c r="L140">
        <v>5</v>
      </c>
      <c r="M140">
        <v>5000</v>
      </c>
    </row>
    <row r="141" spans="1:13" x14ac:dyDescent="0.35">
      <c r="A141" t="s">
        <v>153</v>
      </c>
      <c r="B141">
        <v>1409</v>
      </c>
      <c r="C141">
        <v>86</v>
      </c>
      <c r="D141">
        <v>2</v>
      </c>
      <c r="E141" t="s">
        <v>670</v>
      </c>
      <c r="F141">
        <v>2</v>
      </c>
      <c r="G141">
        <v>2000</v>
      </c>
      <c r="H141">
        <v>1898</v>
      </c>
      <c r="I141">
        <v>118</v>
      </c>
      <c r="J141">
        <v>4</v>
      </c>
      <c r="K141" t="s">
        <v>671</v>
      </c>
      <c r="L141">
        <v>4</v>
      </c>
      <c r="M141">
        <v>4000</v>
      </c>
    </row>
    <row r="142" spans="1:13" x14ac:dyDescent="0.35">
      <c r="A142" t="s">
        <v>171</v>
      </c>
      <c r="B142">
        <v>1392</v>
      </c>
      <c r="C142">
        <v>34</v>
      </c>
      <c r="D142">
        <v>13</v>
      </c>
      <c r="E142" t="s">
        <v>672</v>
      </c>
      <c r="F142">
        <v>14</v>
      </c>
      <c r="G142" t="s">
        <v>673</v>
      </c>
      <c r="H142">
        <v>1406</v>
      </c>
      <c r="I142">
        <v>59</v>
      </c>
      <c r="J142">
        <v>19</v>
      </c>
      <c r="K142" t="s">
        <v>674</v>
      </c>
      <c r="L142">
        <v>38</v>
      </c>
      <c r="M142">
        <v>11400</v>
      </c>
    </row>
    <row r="143" spans="1:13" x14ac:dyDescent="0.35">
      <c r="A143" t="s">
        <v>186</v>
      </c>
      <c r="B143">
        <v>1348</v>
      </c>
      <c r="C143">
        <v>17</v>
      </c>
      <c r="D143">
        <v>9</v>
      </c>
      <c r="E143" t="s">
        <v>675</v>
      </c>
      <c r="F143">
        <v>10</v>
      </c>
      <c r="G143">
        <v>1500</v>
      </c>
      <c r="H143">
        <v>1741</v>
      </c>
      <c r="I143">
        <v>31</v>
      </c>
      <c r="J143">
        <v>14</v>
      </c>
      <c r="K143" t="s">
        <v>676</v>
      </c>
      <c r="L143">
        <v>14</v>
      </c>
      <c r="M143">
        <v>2100</v>
      </c>
    </row>
    <row r="144" spans="1:13" x14ac:dyDescent="0.35">
      <c r="A144" t="s">
        <v>165</v>
      </c>
      <c r="B144">
        <v>1212</v>
      </c>
      <c r="C144">
        <v>103</v>
      </c>
      <c r="D144">
        <v>1</v>
      </c>
      <c r="E144" t="s">
        <v>677</v>
      </c>
      <c r="F144">
        <v>2</v>
      </c>
      <c r="G144">
        <v>150</v>
      </c>
      <c r="H144">
        <v>1538</v>
      </c>
      <c r="I144">
        <v>125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 t="s">
        <v>188</v>
      </c>
      <c r="B145">
        <v>1195</v>
      </c>
      <c r="C145">
        <v>93</v>
      </c>
      <c r="D145">
        <v>0</v>
      </c>
      <c r="E145">
        <v>0</v>
      </c>
      <c r="F145">
        <v>0</v>
      </c>
      <c r="G145">
        <v>0</v>
      </c>
      <c r="H145">
        <v>1379</v>
      </c>
      <c r="I145">
        <v>117</v>
      </c>
      <c r="J145">
        <v>1</v>
      </c>
      <c r="K145" t="s">
        <v>678</v>
      </c>
      <c r="L145">
        <v>3</v>
      </c>
      <c r="M145">
        <v>300</v>
      </c>
    </row>
    <row r="146" spans="1:13" x14ac:dyDescent="0.35">
      <c r="A146" t="s">
        <v>174</v>
      </c>
      <c r="B146">
        <v>1140</v>
      </c>
      <c r="C146">
        <v>86</v>
      </c>
      <c r="D146">
        <v>0</v>
      </c>
      <c r="E146">
        <v>0</v>
      </c>
      <c r="F146">
        <v>0</v>
      </c>
      <c r="G146">
        <v>0</v>
      </c>
      <c r="H146">
        <v>1381</v>
      </c>
      <c r="I146">
        <v>136</v>
      </c>
      <c r="J146">
        <v>0</v>
      </c>
      <c r="K146">
        <v>0</v>
      </c>
      <c r="L146">
        <v>0</v>
      </c>
      <c r="M146">
        <v>0</v>
      </c>
    </row>
    <row r="147" spans="1:13" x14ac:dyDescent="0.35">
      <c r="A147" t="s">
        <v>172</v>
      </c>
      <c r="B147">
        <v>1129</v>
      </c>
      <c r="C147">
        <v>123</v>
      </c>
      <c r="D147">
        <v>1</v>
      </c>
      <c r="E147" t="s">
        <v>679</v>
      </c>
      <c r="F147">
        <v>1</v>
      </c>
      <c r="G147">
        <v>100</v>
      </c>
      <c r="H147">
        <v>1334</v>
      </c>
      <c r="I147">
        <v>90</v>
      </c>
      <c r="J147">
        <v>4</v>
      </c>
      <c r="K147" t="s">
        <v>680</v>
      </c>
      <c r="L147">
        <v>6</v>
      </c>
      <c r="M147">
        <v>600</v>
      </c>
    </row>
    <row r="148" spans="1:13" x14ac:dyDescent="0.35">
      <c r="A148" t="s">
        <v>159</v>
      </c>
      <c r="B148">
        <v>1102</v>
      </c>
      <c r="C148">
        <v>49</v>
      </c>
      <c r="D148">
        <v>5</v>
      </c>
      <c r="E148" t="s">
        <v>681</v>
      </c>
      <c r="F148">
        <v>5</v>
      </c>
      <c r="G148">
        <v>750</v>
      </c>
      <c r="H148">
        <v>1403</v>
      </c>
      <c r="I148">
        <v>76</v>
      </c>
      <c r="J148">
        <v>3</v>
      </c>
      <c r="K148" t="s">
        <v>682</v>
      </c>
      <c r="L148">
        <v>4</v>
      </c>
      <c r="M148">
        <v>600</v>
      </c>
    </row>
    <row r="149" spans="1:13" x14ac:dyDescent="0.35">
      <c r="A149" t="s">
        <v>212</v>
      </c>
      <c r="B149">
        <v>1046</v>
      </c>
      <c r="C149">
        <v>28</v>
      </c>
      <c r="D149">
        <v>2</v>
      </c>
      <c r="E149" t="s">
        <v>683</v>
      </c>
      <c r="F149">
        <v>2</v>
      </c>
      <c r="G149">
        <v>400</v>
      </c>
      <c r="H149">
        <v>1177</v>
      </c>
      <c r="I149">
        <v>70</v>
      </c>
      <c r="J149">
        <v>1</v>
      </c>
      <c r="K149" t="s">
        <v>684</v>
      </c>
      <c r="L149">
        <v>1</v>
      </c>
      <c r="M149">
        <v>200</v>
      </c>
    </row>
    <row r="150" spans="1:13" x14ac:dyDescent="0.35">
      <c r="A150" t="s">
        <v>214</v>
      </c>
      <c r="B150">
        <v>1028</v>
      </c>
      <c r="C150">
        <v>94</v>
      </c>
      <c r="D150">
        <v>3</v>
      </c>
      <c r="E150" t="s">
        <v>685</v>
      </c>
      <c r="F150">
        <v>8</v>
      </c>
      <c r="G150">
        <v>2400</v>
      </c>
      <c r="H150">
        <v>1152</v>
      </c>
      <c r="I150">
        <v>74</v>
      </c>
      <c r="J150">
        <v>3</v>
      </c>
      <c r="K150" t="s">
        <v>686</v>
      </c>
      <c r="L150">
        <v>6</v>
      </c>
      <c r="M150">
        <v>1800</v>
      </c>
    </row>
    <row r="151" spans="1:13" x14ac:dyDescent="0.35">
      <c r="A151" t="s">
        <v>185</v>
      </c>
      <c r="B151">
        <v>949</v>
      </c>
      <c r="C151">
        <v>72</v>
      </c>
      <c r="D151">
        <v>6</v>
      </c>
      <c r="E151" t="s">
        <v>687</v>
      </c>
      <c r="F151">
        <v>7</v>
      </c>
      <c r="G151">
        <v>1400</v>
      </c>
      <c r="H151">
        <v>1101</v>
      </c>
      <c r="I151">
        <v>112</v>
      </c>
      <c r="J151">
        <v>17</v>
      </c>
      <c r="K151" t="s">
        <v>688</v>
      </c>
      <c r="L151">
        <v>23</v>
      </c>
      <c r="M151">
        <v>4600</v>
      </c>
    </row>
    <row r="152" spans="1:13" x14ac:dyDescent="0.35">
      <c r="A152" t="s">
        <v>189</v>
      </c>
      <c r="B152">
        <v>933</v>
      </c>
      <c r="C152">
        <v>91</v>
      </c>
      <c r="D152">
        <v>6</v>
      </c>
      <c r="E152" t="s">
        <v>689</v>
      </c>
      <c r="F152">
        <v>7</v>
      </c>
      <c r="G152">
        <v>2100</v>
      </c>
      <c r="H152">
        <v>1066</v>
      </c>
      <c r="I152">
        <v>83</v>
      </c>
      <c r="J152">
        <v>19</v>
      </c>
      <c r="K152" t="s">
        <v>690</v>
      </c>
      <c r="L152">
        <v>26</v>
      </c>
      <c r="M152">
        <v>7800</v>
      </c>
    </row>
    <row r="153" spans="1:13" x14ac:dyDescent="0.35">
      <c r="A153" t="s">
        <v>187</v>
      </c>
      <c r="B153">
        <v>872</v>
      </c>
      <c r="C153">
        <v>70</v>
      </c>
      <c r="D153">
        <v>3</v>
      </c>
      <c r="E153" t="s">
        <v>691</v>
      </c>
      <c r="F153">
        <v>4</v>
      </c>
      <c r="G153">
        <v>4000</v>
      </c>
      <c r="H153">
        <v>879</v>
      </c>
      <c r="I153">
        <v>67</v>
      </c>
      <c r="J153">
        <v>1</v>
      </c>
      <c r="K153" t="s">
        <v>491</v>
      </c>
      <c r="L153">
        <v>1</v>
      </c>
      <c r="M153">
        <v>1000</v>
      </c>
    </row>
    <row r="154" spans="1:13" x14ac:dyDescent="0.35">
      <c r="A154" t="s">
        <v>176</v>
      </c>
      <c r="B154">
        <v>867</v>
      </c>
      <c r="C154">
        <v>60</v>
      </c>
      <c r="D154">
        <v>12</v>
      </c>
      <c r="E154" t="s">
        <v>632</v>
      </c>
      <c r="F154">
        <v>15</v>
      </c>
      <c r="G154">
        <v>4500</v>
      </c>
      <c r="H154">
        <v>1037</v>
      </c>
      <c r="I154">
        <v>91</v>
      </c>
      <c r="J154">
        <v>9</v>
      </c>
      <c r="K154" t="s">
        <v>692</v>
      </c>
      <c r="L154">
        <v>17</v>
      </c>
      <c r="M154">
        <v>5100</v>
      </c>
    </row>
    <row r="155" spans="1:13" x14ac:dyDescent="0.35">
      <c r="A155" t="s">
        <v>182</v>
      </c>
      <c r="B155">
        <v>867</v>
      </c>
      <c r="C155">
        <v>30</v>
      </c>
      <c r="D155">
        <v>6</v>
      </c>
      <c r="E155" t="s">
        <v>632</v>
      </c>
      <c r="F155">
        <v>10</v>
      </c>
      <c r="G155" t="s">
        <v>693</v>
      </c>
      <c r="H155">
        <v>938</v>
      </c>
      <c r="I155">
        <v>18</v>
      </c>
      <c r="J155">
        <v>3</v>
      </c>
      <c r="K155" t="s">
        <v>694</v>
      </c>
      <c r="L155">
        <v>4</v>
      </c>
      <c r="M155" t="s">
        <v>358</v>
      </c>
    </row>
    <row r="156" spans="1:13" x14ac:dyDescent="0.35">
      <c r="A156" t="s">
        <v>183</v>
      </c>
      <c r="B156">
        <v>846</v>
      </c>
      <c r="C156">
        <v>92</v>
      </c>
      <c r="D156">
        <v>1</v>
      </c>
      <c r="E156" t="s">
        <v>695</v>
      </c>
      <c r="F156">
        <v>1</v>
      </c>
      <c r="G156">
        <v>150</v>
      </c>
      <c r="H156">
        <v>988</v>
      </c>
      <c r="I156">
        <v>75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 t="s">
        <v>194</v>
      </c>
      <c r="B157">
        <v>843</v>
      </c>
      <c r="C157">
        <v>100</v>
      </c>
      <c r="D157">
        <v>5</v>
      </c>
      <c r="E157" t="s">
        <v>625</v>
      </c>
      <c r="F157">
        <v>7</v>
      </c>
      <c r="G157">
        <v>35000</v>
      </c>
      <c r="H157">
        <v>848</v>
      </c>
      <c r="I157">
        <v>22</v>
      </c>
      <c r="J157">
        <v>1</v>
      </c>
      <c r="K157" t="s">
        <v>696</v>
      </c>
      <c r="L157">
        <v>2</v>
      </c>
      <c r="M157">
        <v>10000</v>
      </c>
    </row>
    <row r="158" spans="1:13" x14ac:dyDescent="0.35">
      <c r="A158" t="s">
        <v>193</v>
      </c>
      <c r="B158">
        <v>843</v>
      </c>
      <c r="C158">
        <v>66</v>
      </c>
      <c r="D158">
        <v>2</v>
      </c>
      <c r="E158" t="s">
        <v>635</v>
      </c>
      <c r="F158">
        <v>2</v>
      </c>
      <c r="G158">
        <v>10000</v>
      </c>
      <c r="H158">
        <v>848</v>
      </c>
      <c r="I158">
        <v>89</v>
      </c>
      <c r="J158">
        <v>0</v>
      </c>
      <c r="K158">
        <v>0</v>
      </c>
      <c r="L158">
        <v>0</v>
      </c>
      <c r="M158">
        <v>0</v>
      </c>
    </row>
    <row r="159" spans="1:13" x14ac:dyDescent="0.35">
      <c r="A159" t="s">
        <v>192</v>
      </c>
      <c r="B159">
        <v>843</v>
      </c>
      <c r="C159">
        <v>52</v>
      </c>
      <c r="D159">
        <v>5</v>
      </c>
      <c r="E159" t="s">
        <v>697</v>
      </c>
      <c r="F159">
        <v>5</v>
      </c>
      <c r="G159">
        <v>12500</v>
      </c>
      <c r="H159">
        <v>849</v>
      </c>
      <c r="I159">
        <v>33</v>
      </c>
      <c r="J159">
        <v>5</v>
      </c>
      <c r="K159" t="s">
        <v>698</v>
      </c>
      <c r="L159">
        <v>6</v>
      </c>
      <c r="M159">
        <v>15000</v>
      </c>
    </row>
    <row r="160" spans="1:13" x14ac:dyDescent="0.35">
      <c r="A160" t="s">
        <v>195</v>
      </c>
      <c r="B160">
        <v>843</v>
      </c>
      <c r="C160">
        <v>26</v>
      </c>
      <c r="D160">
        <v>0</v>
      </c>
      <c r="E160">
        <v>0</v>
      </c>
      <c r="F160">
        <v>0</v>
      </c>
      <c r="G160">
        <v>0</v>
      </c>
      <c r="H160">
        <v>848</v>
      </c>
      <c r="I160">
        <v>38</v>
      </c>
      <c r="J160">
        <v>1</v>
      </c>
      <c r="K160" t="s">
        <v>699</v>
      </c>
      <c r="L160">
        <v>1</v>
      </c>
      <c r="M160">
        <v>2500</v>
      </c>
    </row>
    <row r="161" spans="1:13" x14ac:dyDescent="0.35">
      <c r="A161" t="s">
        <v>175</v>
      </c>
      <c r="B161">
        <v>814</v>
      </c>
      <c r="C161">
        <v>62</v>
      </c>
      <c r="D161">
        <v>0</v>
      </c>
      <c r="E161">
        <v>0</v>
      </c>
      <c r="F161">
        <v>0</v>
      </c>
      <c r="G161">
        <v>0</v>
      </c>
      <c r="H161">
        <v>1133</v>
      </c>
      <c r="I161">
        <v>62</v>
      </c>
      <c r="J161">
        <v>0</v>
      </c>
      <c r="K161">
        <v>0</v>
      </c>
      <c r="L161">
        <v>0</v>
      </c>
      <c r="M161">
        <v>0</v>
      </c>
    </row>
    <row r="162" spans="1:13" x14ac:dyDescent="0.35">
      <c r="A162" t="s">
        <v>169</v>
      </c>
      <c r="B162">
        <v>807</v>
      </c>
      <c r="C162">
        <v>18</v>
      </c>
      <c r="D162">
        <v>8</v>
      </c>
      <c r="E162" t="s">
        <v>580</v>
      </c>
      <c r="F162">
        <v>10</v>
      </c>
      <c r="G162">
        <v>2000</v>
      </c>
      <c r="H162">
        <v>1402</v>
      </c>
      <c r="I162">
        <v>29</v>
      </c>
      <c r="J162">
        <v>18</v>
      </c>
      <c r="K162" t="s">
        <v>700</v>
      </c>
      <c r="L162">
        <v>20</v>
      </c>
      <c r="M162">
        <v>4000</v>
      </c>
    </row>
    <row r="163" spans="1:13" x14ac:dyDescent="0.35">
      <c r="A163" t="s">
        <v>205</v>
      </c>
      <c r="B163">
        <v>804</v>
      </c>
      <c r="C163">
        <v>28</v>
      </c>
      <c r="D163">
        <v>0</v>
      </c>
      <c r="E163">
        <v>0</v>
      </c>
      <c r="F163">
        <v>0</v>
      </c>
      <c r="G163">
        <v>0</v>
      </c>
      <c r="H163">
        <v>1056</v>
      </c>
      <c r="I163">
        <v>52</v>
      </c>
      <c r="J163">
        <v>0</v>
      </c>
      <c r="K163">
        <v>0</v>
      </c>
      <c r="L163">
        <v>0</v>
      </c>
      <c r="M163">
        <v>0</v>
      </c>
    </row>
    <row r="164" spans="1:13" x14ac:dyDescent="0.35">
      <c r="A164" t="s">
        <v>206</v>
      </c>
      <c r="B164">
        <v>802</v>
      </c>
      <c r="C164">
        <v>160</v>
      </c>
      <c r="D164">
        <v>0</v>
      </c>
      <c r="E164">
        <v>0</v>
      </c>
      <c r="F164">
        <v>0</v>
      </c>
      <c r="G164">
        <v>0</v>
      </c>
      <c r="H164">
        <v>1056</v>
      </c>
      <c r="I164">
        <v>210</v>
      </c>
      <c r="J164">
        <v>0</v>
      </c>
      <c r="K164">
        <v>0</v>
      </c>
      <c r="L164">
        <v>0</v>
      </c>
      <c r="M164">
        <v>0</v>
      </c>
    </row>
    <row r="165" spans="1:13" x14ac:dyDescent="0.35">
      <c r="A165" t="s">
        <v>207</v>
      </c>
      <c r="B165">
        <v>802</v>
      </c>
      <c r="C165">
        <v>25</v>
      </c>
      <c r="D165">
        <v>0</v>
      </c>
      <c r="E165">
        <v>0</v>
      </c>
      <c r="F165">
        <v>0</v>
      </c>
      <c r="G165">
        <v>0</v>
      </c>
      <c r="H165">
        <v>1056</v>
      </c>
      <c r="I165">
        <v>31</v>
      </c>
      <c r="J165">
        <v>0</v>
      </c>
      <c r="K165">
        <v>0</v>
      </c>
      <c r="L165">
        <v>0</v>
      </c>
      <c r="M165">
        <v>0</v>
      </c>
    </row>
    <row r="166" spans="1:13" x14ac:dyDescent="0.35">
      <c r="A166" t="s">
        <v>371</v>
      </c>
      <c r="B166">
        <v>771</v>
      </c>
      <c r="C166">
        <v>4</v>
      </c>
      <c r="D166">
        <v>1</v>
      </c>
      <c r="E166" t="s">
        <v>575</v>
      </c>
      <c r="F166">
        <v>1</v>
      </c>
      <c r="G166" t="s">
        <v>701</v>
      </c>
      <c r="H166">
        <v>183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 x14ac:dyDescent="0.35">
      <c r="A167" t="s">
        <v>372</v>
      </c>
      <c r="B167">
        <v>762</v>
      </c>
      <c r="C167">
        <v>84</v>
      </c>
      <c r="D167">
        <v>0</v>
      </c>
      <c r="E167">
        <v>0</v>
      </c>
      <c r="F167">
        <v>0</v>
      </c>
      <c r="G167">
        <v>0</v>
      </c>
      <c r="H167">
        <v>171</v>
      </c>
      <c r="I167">
        <v>13</v>
      </c>
      <c r="J167">
        <v>0</v>
      </c>
      <c r="K167">
        <v>0</v>
      </c>
      <c r="L167">
        <v>0</v>
      </c>
      <c r="M167">
        <v>0</v>
      </c>
    </row>
    <row r="168" spans="1:13" x14ac:dyDescent="0.35">
      <c r="A168" t="s">
        <v>190</v>
      </c>
      <c r="B168">
        <v>739</v>
      </c>
      <c r="C168">
        <v>37</v>
      </c>
      <c r="D168">
        <v>2</v>
      </c>
      <c r="E168" t="s">
        <v>702</v>
      </c>
      <c r="F168">
        <v>2</v>
      </c>
      <c r="G168">
        <v>400</v>
      </c>
      <c r="H168">
        <v>925</v>
      </c>
      <c r="I168">
        <v>26</v>
      </c>
      <c r="J168">
        <v>1</v>
      </c>
      <c r="K168" t="s">
        <v>501</v>
      </c>
      <c r="L168">
        <v>1</v>
      </c>
      <c r="M168">
        <v>200</v>
      </c>
    </row>
    <row r="169" spans="1:13" x14ac:dyDescent="0.35">
      <c r="A169" t="s">
        <v>181</v>
      </c>
      <c r="B169">
        <v>724</v>
      </c>
      <c r="C169">
        <v>48</v>
      </c>
      <c r="D169">
        <v>1</v>
      </c>
      <c r="E169" t="s">
        <v>703</v>
      </c>
      <c r="F169">
        <v>1</v>
      </c>
      <c r="G169">
        <v>150</v>
      </c>
      <c r="H169">
        <v>912</v>
      </c>
      <c r="I169">
        <v>41</v>
      </c>
      <c r="J169">
        <v>2</v>
      </c>
      <c r="K169" t="s">
        <v>704</v>
      </c>
      <c r="L169">
        <v>2</v>
      </c>
      <c r="M169">
        <v>300</v>
      </c>
    </row>
    <row r="170" spans="1:13" x14ac:dyDescent="0.35">
      <c r="A170" t="s">
        <v>362</v>
      </c>
      <c r="B170">
        <v>720</v>
      </c>
      <c r="C170">
        <v>3</v>
      </c>
      <c r="D170">
        <v>2</v>
      </c>
      <c r="E170" t="s">
        <v>609</v>
      </c>
      <c r="F170">
        <v>2</v>
      </c>
      <c r="G170">
        <v>200</v>
      </c>
      <c r="H170">
        <v>602</v>
      </c>
      <c r="I170">
        <v>4</v>
      </c>
      <c r="J170">
        <v>0</v>
      </c>
      <c r="K170">
        <v>0</v>
      </c>
      <c r="L170">
        <v>0</v>
      </c>
      <c r="M170">
        <v>0</v>
      </c>
    </row>
    <row r="171" spans="1:13" x14ac:dyDescent="0.35">
      <c r="A171" t="s">
        <v>177</v>
      </c>
      <c r="B171">
        <v>663</v>
      </c>
      <c r="C171">
        <v>6</v>
      </c>
      <c r="D171">
        <v>0</v>
      </c>
      <c r="E171">
        <v>0</v>
      </c>
      <c r="F171">
        <v>0</v>
      </c>
      <c r="G171">
        <v>0</v>
      </c>
      <c r="H171">
        <v>932</v>
      </c>
      <c r="I171">
        <v>12</v>
      </c>
      <c r="J171">
        <v>0</v>
      </c>
      <c r="K171">
        <v>0</v>
      </c>
      <c r="L171">
        <v>0</v>
      </c>
      <c r="M171">
        <v>0</v>
      </c>
    </row>
    <row r="172" spans="1:13" x14ac:dyDescent="0.35">
      <c r="A172" t="s">
        <v>191</v>
      </c>
      <c r="B172">
        <v>660</v>
      </c>
      <c r="C172">
        <v>74</v>
      </c>
      <c r="D172">
        <v>5</v>
      </c>
      <c r="E172" t="s">
        <v>705</v>
      </c>
      <c r="F172">
        <v>12</v>
      </c>
      <c r="G172">
        <v>2400</v>
      </c>
      <c r="H172">
        <v>780</v>
      </c>
      <c r="I172">
        <v>193</v>
      </c>
      <c r="J172">
        <v>5</v>
      </c>
      <c r="K172" t="s">
        <v>706</v>
      </c>
      <c r="L172">
        <v>8</v>
      </c>
      <c r="M172">
        <v>1600</v>
      </c>
    </row>
    <row r="173" spans="1:13" x14ac:dyDescent="0.35">
      <c r="A173" t="s">
        <v>217</v>
      </c>
      <c r="B173">
        <v>654</v>
      </c>
      <c r="C173">
        <v>78</v>
      </c>
      <c r="D173">
        <v>0</v>
      </c>
      <c r="E173">
        <v>0</v>
      </c>
      <c r="F173">
        <v>0</v>
      </c>
      <c r="G173">
        <v>0</v>
      </c>
      <c r="H173">
        <v>625</v>
      </c>
      <c r="I173">
        <v>76</v>
      </c>
      <c r="J173">
        <v>2</v>
      </c>
      <c r="K173" t="s">
        <v>699</v>
      </c>
      <c r="L173">
        <v>5</v>
      </c>
      <c r="M173">
        <v>500</v>
      </c>
    </row>
    <row r="174" spans="1:13" x14ac:dyDescent="0.35">
      <c r="A174" t="s">
        <v>200</v>
      </c>
      <c r="B174">
        <v>643</v>
      </c>
      <c r="C174">
        <v>35</v>
      </c>
      <c r="D174">
        <v>0</v>
      </c>
      <c r="E174">
        <v>0</v>
      </c>
      <c r="F174">
        <v>0</v>
      </c>
      <c r="G174">
        <v>0</v>
      </c>
      <c r="H174">
        <v>748</v>
      </c>
      <c r="I174">
        <v>59</v>
      </c>
      <c r="J174">
        <v>1</v>
      </c>
      <c r="K174" t="s">
        <v>707</v>
      </c>
      <c r="L174">
        <v>2</v>
      </c>
      <c r="M174">
        <v>300</v>
      </c>
    </row>
    <row r="175" spans="1:13" x14ac:dyDescent="0.35">
      <c r="A175" t="s">
        <v>184</v>
      </c>
      <c r="B175">
        <v>639</v>
      </c>
      <c r="C175">
        <v>6</v>
      </c>
      <c r="D175">
        <v>1</v>
      </c>
      <c r="E175" t="s">
        <v>694</v>
      </c>
      <c r="F175">
        <v>2</v>
      </c>
      <c r="G175">
        <v>150</v>
      </c>
      <c r="H175">
        <v>885</v>
      </c>
      <c r="I175">
        <v>9</v>
      </c>
      <c r="J175">
        <v>1</v>
      </c>
      <c r="K175" t="s">
        <v>708</v>
      </c>
      <c r="L175">
        <v>1</v>
      </c>
      <c r="M175">
        <v>75</v>
      </c>
    </row>
    <row r="176" spans="1:13" x14ac:dyDescent="0.35">
      <c r="A176" t="s">
        <v>180</v>
      </c>
      <c r="B176">
        <v>637</v>
      </c>
      <c r="C176">
        <v>6</v>
      </c>
      <c r="D176">
        <v>0</v>
      </c>
      <c r="E176">
        <v>0</v>
      </c>
      <c r="F176">
        <v>0</v>
      </c>
      <c r="G176">
        <v>0</v>
      </c>
      <c r="H176">
        <v>856</v>
      </c>
      <c r="I176">
        <v>8</v>
      </c>
      <c r="J176">
        <v>0</v>
      </c>
      <c r="K176">
        <v>0</v>
      </c>
      <c r="L176">
        <v>0</v>
      </c>
      <c r="M176">
        <v>0</v>
      </c>
    </row>
    <row r="177" spans="1:13" x14ac:dyDescent="0.35">
      <c r="A177" t="s">
        <v>365</v>
      </c>
      <c r="B177">
        <v>632</v>
      </c>
      <c r="C177">
        <v>104</v>
      </c>
      <c r="D177">
        <v>0</v>
      </c>
      <c r="E177">
        <v>0</v>
      </c>
      <c r="F177">
        <v>0</v>
      </c>
      <c r="G177">
        <v>0</v>
      </c>
      <c r="H177">
        <v>501</v>
      </c>
      <c r="I177">
        <v>56</v>
      </c>
      <c r="J177">
        <v>1</v>
      </c>
      <c r="K177" t="s">
        <v>709</v>
      </c>
      <c r="L177">
        <v>1</v>
      </c>
      <c r="M177">
        <v>100</v>
      </c>
    </row>
    <row r="178" spans="1:13" x14ac:dyDescent="0.35">
      <c r="A178" t="s">
        <v>196</v>
      </c>
      <c r="B178">
        <v>631</v>
      </c>
      <c r="C178">
        <v>89</v>
      </c>
      <c r="D178">
        <v>0</v>
      </c>
      <c r="E178">
        <v>0</v>
      </c>
      <c r="F178">
        <v>0</v>
      </c>
      <c r="G178">
        <v>0</v>
      </c>
      <c r="H178">
        <v>888</v>
      </c>
      <c r="I178">
        <v>88</v>
      </c>
      <c r="J178">
        <v>0</v>
      </c>
      <c r="K178">
        <v>0</v>
      </c>
      <c r="L178">
        <v>0</v>
      </c>
      <c r="M178">
        <v>0</v>
      </c>
    </row>
    <row r="179" spans="1:13" x14ac:dyDescent="0.35">
      <c r="A179" t="s">
        <v>363</v>
      </c>
      <c r="B179">
        <v>631</v>
      </c>
      <c r="C179">
        <v>1</v>
      </c>
      <c r="D179">
        <v>1</v>
      </c>
      <c r="E179">
        <v>1</v>
      </c>
      <c r="F179">
        <v>1</v>
      </c>
      <c r="G179">
        <v>200</v>
      </c>
      <c r="H179">
        <v>520</v>
      </c>
      <c r="I179">
        <v>5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 t="s">
        <v>209</v>
      </c>
      <c r="B180">
        <v>621</v>
      </c>
      <c r="C180">
        <v>49</v>
      </c>
      <c r="D180">
        <v>11</v>
      </c>
      <c r="E180" t="s">
        <v>710</v>
      </c>
      <c r="F180">
        <v>28</v>
      </c>
      <c r="G180" t="s">
        <v>360</v>
      </c>
      <c r="H180">
        <v>744</v>
      </c>
      <c r="I180">
        <v>88</v>
      </c>
      <c r="J180">
        <v>17</v>
      </c>
      <c r="K180" t="s">
        <v>711</v>
      </c>
      <c r="L180">
        <v>45</v>
      </c>
      <c r="M180" t="s">
        <v>359</v>
      </c>
    </row>
    <row r="181" spans="1:13" x14ac:dyDescent="0.35">
      <c r="A181" t="s">
        <v>202</v>
      </c>
      <c r="B181">
        <v>621</v>
      </c>
      <c r="C181">
        <v>40</v>
      </c>
      <c r="D181">
        <v>3</v>
      </c>
      <c r="E181" t="s">
        <v>633</v>
      </c>
      <c r="F181">
        <v>4</v>
      </c>
      <c r="G181">
        <v>2000</v>
      </c>
      <c r="H181">
        <v>806</v>
      </c>
      <c r="I181">
        <v>51</v>
      </c>
      <c r="J181">
        <v>2</v>
      </c>
      <c r="K181" t="s">
        <v>461</v>
      </c>
      <c r="L181">
        <v>3</v>
      </c>
      <c r="M181">
        <v>1500</v>
      </c>
    </row>
    <row r="182" spans="1:13" x14ac:dyDescent="0.35">
      <c r="A182" t="s">
        <v>364</v>
      </c>
      <c r="B182">
        <v>618</v>
      </c>
      <c r="C182">
        <v>1</v>
      </c>
      <c r="D182">
        <v>1</v>
      </c>
      <c r="E182">
        <v>1</v>
      </c>
      <c r="F182">
        <v>1</v>
      </c>
      <c r="G182">
        <v>300</v>
      </c>
      <c r="H182">
        <v>513</v>
      </c>
      <c r="I182">
        <v>3</v>
      </c>
      <c r="J182">
        <v>1</v>
      </c>
      <c r="K182" t="s">
        <v>440</v>
      </c>
      <c r="L182">
        <v>1</v>
      </c>
      <c r="M182">
        <v>300</v>
      </c>
    </row>
    <row r="183" spans="1:13" x14ac:dyDescent="0.35">
      <c r="A183" t="s">
        <v>366</v>
      </c>
      <c r="B183">
        <v>588</v>
      </c>
      <c r="C183">
        <v>9</v>
      </c>
      <c r="D183">
        <v>5</v>
      </c>
      <c r="E183" t="s">
        <v>712</v>
      </c>
      <c r="F183">
        <v>6</v>
      </c>
      <c r="G183">
        <v>2400</v>
      </c>
      <c r="H183">
        <v>467</v>
      </c>
      <c r="I183">
        <v>7</v>
      </c>
      <c r="J183">
        <v>1</v>
      </c>
      <c r="K183" t="s">
        <v>659</v>
      </c>
      <c r="L183">
        <v>1</v>
      </c>
      <c r="M183">
        <v>400</v>
      </c>
    </row>
    <row r="184" spans="1:13" x14ac:dyDescent="0.35">
      <c r="A184" t="s">
        <v>213</v>
      </c>
      <c r="B184">
        <v>565</v>
      </c>
      <c r="C184">
        <v>38</v>
      </c>
      <c r="D184">
        <v>0</v>
      </c>
      <c r="E184">
        <v>0</v>
      </c>
      <c r="F184">
        <v>0</v>
      </c>
      <c r="G184">
        <v>0</v>
      </c>
      <c r="H184">
        <v>672</v>
      </c>
      <c r="I184">
        <v>57</v>
      </c>
      <c r="J184">
        <v>2</v>
      </c>
      <c r="K184" t="s">
        <v>713</v>
      </c>
      <c r="L184">
        <v>2</v>
      </c>
      <c r="M184">
        <v>400</v>
      </c>
    </row>
    <row r="185" spans="1:13" x14ac:dyDescent="0.35">
      <c r="A185" t="s">
        <v>178</v>
      </c>
      <c r="B185">
        <v>554</v>
      </c>
      <c r="C185">
        <v>7</v>
      </c>
      <c r="D185">
        <v>0</v>
      </c>
      <c r="E185">
        <v>0</v>
      </c>
      <c r="F185">
        <v>0</v>
      </c>
      <c r="G185">
        <v>0</v>
      </c>
      <c r="H185">
        <v>897</v>
      </c>
      <c r="I185">
        <v>8</v>
      </c>
      <c r="J185">
        <v>0</v>
      </c>
      <c r="K185">
        <v>0</v>
      </c>
      <c r="L185">
        <v>0</v>
      </c>
      <c r="M185">
        <v>0</v>
      </c>
    </row>
    <row r="186" spans="1:13" x14ac:dyDescent="0.35">
      <c r="A186" t="s">
        <v>367</v>
      </c>
      <c r="B186">
        <v>546</v>
      </c>
      <c r="C186">
        <v>4197</v>
      </c>
      <c r="D186">
        <v>0</v>
      </c>
      <c r="E186">
        <v>0</v>
      </c>
      <c r="F186">
        <v>0</v>
      </c>
      <c r="G186">
        <v>0</v>
      </c>
      <c r="H186">
        <v>449</v>
      </c>
      <c r="I186">
        <v>3539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 t="s">
        <v>369</v>
      </c>
      <c r="B187">
        <v>546</v>
      </c>
      <c r="C187">
        <v>45</v>
      </c>
      <c r="D187">
        <v>0</v>
      </c>
      <c r="E187">
        <v>0</v>
      </c>
      <c r="F187">
        <v>0</v>
      </c>
      <c r="G187">
        <v>0</v>
      </c>
      <c r="H187">
        <v>448</v>
      </c>
      <c r="I187">
        <v>27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 t="s">
        <v>201</v>
      </c>
      <c r="B188">
        <v>546</v>
      </c>
      <c r="C188">
        <v>33</v>
      </c>
      <c r="D188">
        <v>3</v>
      </c>
      <c r="E188" t="s">
        <v>714</v>
      </c>
      <c r="F188">
        <v>3</v>
      </c>
      <c r="G188" t="s">
        <v>361</v>
      </c>
      <c r="H188">
        <v>647</v>
      </c>
      <c r="I188">
        <v>48</v>
      </c>
      <c r="J188">
        <v>2</v>
      </c>
      <c r="K188" t="s">
        <v>715</v>
      </c>
      <c r="L188">
        <v>2</v>
      </c>
      <c r="M188" t="s">
        <v>351</v>
      </c>
    </row>
    <row r="189" spans="1:13" x14ac:dyDescent="0.35">
      <c r="A189" t="s">
        <v>368</v>
      </c>
      <c r="B189">
        <v>546</v>
      </c>
      <c r="C189">
        <v>32</v>
      </c>
      <c r="D189">
        <v>0</v>
      </c>
      <c r="E189">
        <v>0</v>
      </c>
      <c r="F189">
        <v>0</v>
      </c>
      <c r="G189">
        <v>0</v>
      </c>
      <c r="H189">
        <v>449</v>
      </c>
      <c r="I189">
        <v>16</v>
      </c>
      <c r="J189">
        <v>0</v>
      </c>
      <c r="K189">
        <v>0</v>
      </c>
      <c r="L189">
        <v>0</v>
      </c>
      <c r="M189">
        <v>0</v>
      </c>
    </row>
    <row r="190" spans="1:13" x14ac:dyDescent="0.35">
      <c r="A190" t="s">
        <v>197</v>
      </c>
      <c r="B190">
        <v>536</v>
      </c>
      <c r="C190">
        <v>5</v>
      </c>
      <c r="D190">
        <v>2</v>
      </c>
      <c r="E190" t="s">
        <v>716</v>
      </c>
      <c r="F190">
        <v>2</v>
      </c>
      <c r="G190">
        <v>200</v>
      </c>
      <c r="H190">
        <v>723</v>
      </c>
      <c r="I190">
        <v>1</v>
      </c>
      <c r="J190">
        <v>1</v>
      </c>
      <c r="K190">
        <v>1</v>
      </c>
      <c r="L190">
        <v>1</v>
      </c>
      <c r="M190">
        <v>100</v>
      </c>
    </row>
    <row r="191" spans="1:13" x14ac:dyDescent="0.35">
      <c r="A191" t="s">
        <v>373</v>
      </c>
      <c r="B191">
        <v>521</v>
      </c>
      <c r="C191">
        <v>4</v>
      </c>
      <c r="D191">
        <v>0</v>
      </c>
      <c r="E191">
        <v>0</v>
      </c>
      <c r="F191">
        <v>0</v>
      </c>
      <c r="G191">
        <v>0</v>
      </c>
      <c r="H191">
        <v>105</v>
      </c>
      <c r="I191">
        <v>2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 t="s">
        <v>221</v>
      </c>
      <c r="B192">
        <v>518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615</v>
      </c>
      <c r="I192">
        <v>4</v>
      </c>
      <c r="J192">
        <v>0</v>
      </c>
      <c r="K192">
        <v>0</v>
      </c>
      <c r="L192">
        <v>0</v>
      </c>
      <c r="M192">
        <v>0</v>
      </c>
    </row>
    <row r="193" spans="1:13" x14ac:dyDescent="0.35">
      <c r="A193" t="s">
        <v>203</v>
      </c>
      <c r="B193">
        <v>517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535</v>
      </c>
      <c r="I193">
        <v>3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 t="s">
        <v>199</v>
      </c>
      <c r="B194">
        <v>495</v>
      </c>
      <c r="C194">
        <v>10</v>
      </c>
      <c r="D194">
        <v>0</v>
      </c>
      <c r="E194">
        <v>0</v>
      </c>
      <c r="F194">
        <v>0</v>
      </c>
      <c r="G194">
        <v>0</v>
      </c>
      <c r="H194">
        <v>721</v>
      </c>
      <c r="I194">
        <v>6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 t="s">
        <v>208</v>
      </c>
      <c r="B195">
        <v>493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659</v>
      </c>
      <c r="I195">
        <v>3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 t="s">
        <v>216</v>
      </c>
      <c r="B196">
        <v>488</v>
      </c>
      <c r="C196">
        <v>20</v>
      </c>
      <c r="D196">
        <v>9</v>
      </c>
      <c r="E196" t="s">
        <v>717</v>
      </c>
      <c r="F196">
        <v>16</v>
      </c>
      <c r="G196">
        <v>3200</v>
      </c>
      <c r="H196">
        <v>618</v>
      </c>
      <c r="I196">
        <v>16</v>
      </c>
      <c r="J196">
        <v>6</v>
      </c>
      <c r="K196" t="s">
        <v>718</v>
      </c>
      <c r="L196">
        <v>10</v>
      </c>
      <c r="M196">
        <v>2000</v>
      </c>
    </row>
    <row r="197" spans="1:13" x14ac:dyDescent="0.35">
      <c r="A197" t="s">
        <v>215</v>
      </c>
      <c r="B197">
        <v>488</v>
      </c>
      <c r="C197">
        <v>1</v>
      </c>
      <c r="D197">
        <v>1</v>
      </c>
      <c r="E197">
        <v>1</v>
      </c>
      <c r="F197">
        <v>1</v>
      </c>
      <c r="G197">
        <v>150</v>
      </c>
      <c r="H197">
        <v>646</v>
      </c>
      <c r="I197">
        <v>2</v>
      </c>
      <c r="J197">
        <v>1</v>
      </c>
      <c r="K197" t="s">
        <v>719</v>
      </c>
      <c r="L197">
        <v>2</v>
      </c>
      <c r="M197">
        <v>300</v>
      </c>
    </row>
    <row r="198" spans="1:13" x14ac:dyDescent="0.35">
      <c r="A198" t="s">
        <v>227</v>
      </c>
      <c r="B198">
        <v>471</v>
      </c>
      <c r="C198">
        <v>49</v>
      </c>
      <c r="D198">
        <v>0</v>
      </c>
      <c r="E198">
        <v>0</v>
      </c>
      <c r="F198">
        <v>0</v>
      </c>
      <c r="G198">
        <v>0</v>
      </c>
      <c r="H198">
        <v>509</v>
      </c>
      <c r="I198">
        <v>20</v>
      </c>
      <c r="J198">
        <v>0</v>
      </c>
      <c r="K198">
        <v>0</v>
      </c>
      <c r="L198">
        <v>0</v>
      </c>
      <c r="M198">
        <v>0</v>
      </c>
    </row>
    <row r="199" spans="1:13" x14ac:dyDescent="0.35">
      <c r="A199" t="s">
        <v>226</v>
      </c>
      <c r="B199">
        <v>471</v>
      </c>
      <c r="C199">
        <v>44</v>
      </c>
      <c r="D199">
        <v>0</v>
      </c>
      <c r="E199">
        <v>0</v>
      </c>
      <c r="F199">
        <v>0</v>
      </c>
      <c r="G199">
        <v>0</v>
      </c>
      <c r="H199">
        <v>509</v>
      </c>
      <c r="I199">
        <v>58</v>
      </c>
      <c r="J199">
        <v>1</v>
      </c>
      <c r="K199" t="s">
        <v>720</v>
      </c>
      <c r="L199">
        <v>2</v>
      </c>
      <c r="M199">
        <v>2000</v>
      </c>
    </row>
    <row r="200" spans="1:13" x14ac:dyDescent="0.35">
      <c r="A200" t="s">
        <v>228</v>
      </c>
      <c r="B200">
        <v>471</v>
      </c>
      <c r="C200">
        <v>33</v>
      </c>
      <c r="D200">
        <v>0</v>
      </c>
      <c r="E200">
        <v>0</v>
      </c>
      <c r="F200">
        <v>0</v>
      </c>
      <c r="G200">
        <v>0</v>
      </c>
      <c r="H200">
        <v>509</v>
      </c>
      <c r="I200">
        <v>40</v>
      </c>
      <c r="J200">
        <v>0</v>
      </c>
      <c r="K200">
        <v>0</v>
      </c>
      <c r="L200">
        <v>0</v>
      </c>
      <c r="M200">
        <v>0</v>
      </c>
    </row>
    <row r="201" spans="1:13" x14ac:dyDescent="0.35">
      <c r="A201" t="s">
        <v>220</v>
      </c>
      <c r="B201">
        <v>442</v>
      </c>
      <c r="C201">
        <v>0</v>
      </c>
      <c r="D201">
        <v>0</v>
      </c>
      <c r="E201"/>
      <c r="F201">
        <v>0</v>
      </c>
      <c r="G201">
        <v>0</v>
      </c>
      <c r="H201">
        <v>581</v>
      </c>
      <c r="I201">
        <v>3</v>
      </c>
      <c r="J201">
        <v>0</v>
      </c>
      <c r="K201">
        <v>0</v>
      </c>
      <c r="L201">
        <v>0</v>
      </c>
      <c r="M201">
        <v>0</v>
      </c>
    </row>
    <row r="202" spans="1:13" x14ac:dyDescent="0.35">
      <c r="A202" t="s">
        <v>225</v>
      </c>
      <c r="B202">
        <v>427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514</v>
      </c>
      <c r="I202">
        <v>12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 t="s">
        <v>78</v>
      </c>
      <c r="B203">
        <v>426</v>
      </c>
      <c r="C203">
        <v>103</v>
      </c>
      <c r="D203">
        <v>0</v>
      </c>
      <c r="E203">
        <v>0</v>
      </c>
      <c r="F203">
        <v>0</v>
      </c>
      <c r="G203">
        <v>0</v>
      </c>
      <c r="H203">
        <v>12487</v>
      </c>
      <c r="I203">
        <v>1801</v>
      </c>
      <c r="J203">
        <v>52</v>
      </c>
      <c r="K203" t="s">
        <v>721</v>
      </c>
      <c r="L203">
        <v>73</v>
      </c>
      <c r="M203" t="s">
        <v>300</v>
      </c>
    </row>
    <row r="204" spans="1:13" x14ac:dyDescent="0.35">
      <c r="A204" t="s">
        <v>198</v>
      </c>
      <c r="B204">
        <v>426</v>
      </c>
      <c r="C204">
        <v>5</v>
      </c>
      <c r="D204">
        <v>0</v>
      </c>
      <c r="E204">
        <v>0</v>
      </c>
      <c r="F204">
        <v>0</v>
      </c>
      <c r="G204">
        <v>0</v>
      </c>
      <c r="H204">
        <v>695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 t="s">
        <v>232</v>
      </c>
      <c r="B205">
        <v>416</v>
      </c>
      <c r="C205">
        <v>0</v>
      </c>
      <c r="D205">
        <v>0</v>
      </c>
      <c r="E205"/>
      <c r="F205">
        <v>0</v>
      </c>
      <c r="G205">
        <v>0</v>
      </c>
      <c r="H205">
        <v>358</v>
      </c>
      <c r="I205">
        <v>0</v>
      </c>
      <c r="J205">
        <v>0</v>
      </c>
      <c r="K205"/>
      <c r="L205">
        <v>0</v>
      </c>
      <c r="M205">
        <v>0</v>
      </c>
    </row>
    <row r="206" spans="1:13" x14ac:dyDescent="0.35">
      <c r="A206" t="s">
        <v>376</v>
      </c>
      <c r="B206">
        <v>413</v>
      </c>
      <c r="C206">
        <v>0</v>
      </c>
      <c r="D206">
        <v>0</v>
      </c>
      <c r="E206"/>
      <c r="F206">
        <v>0</v>
      </c>
      <c r="G206">
        <v>0</v>
      </c>
      <c r="H206">
        <v>21</v>
      </c>
      <c r="I206">
        <v>0</v>
      </c>
      <c r="J206">
        <v>0</v>
      </c>
      <c r="K206"/>
      <c r="L206">
        <v>0</v>
      </c>
      <c r="M206">
        <v>0</v>
      </c>
    </row>
    <row r="207" spans="1:13" x14ac:dyDescent="0.35">
      <c r="A207" t="s">
        <v>224</v>
      </c>
      <c r="B207">
        <v>411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515</v>
      </c>
      <c r="I207">
        <v>1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 t="s">
        <v>374</v>
      </c>
      <c r="B208">
        <v>391</v>
      </c>
      <c r="C208">
        <v>111</v>
      </c>
      <c r="D208">
        <v>0</v>
      </c>
      <c r="E208">
        <v>0</v>
      </c>
      <c r="F208">
        <v>0</v>
      </c>
      <c r="G208">
        <v>0</v>
      </c>
      <c r="H208">
        <v>67</v>
      </c>
      <c r="I208">
        <v>16</v>
      </c>
      <c r="J208">
        <v>0</v>
      </c>
      <c r="K208">
        <v>0</v>
      </c>
      <c r="L208">
        <v>0</v>
      </c>
      <c r="M208">
        <v>0</v>
      </c>
    </row>
    <row r="209" spans="1:13" x14ac:dyDescent="0.35">
      <c r="A209" t="s">
        <v>222</v>
      </c>
      <c r="B209">
        <v>362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563</v>
      </c>
      <c r="I209">
        <v>2</v>
      </c>
      <c r="J209">
        <v>0</v>
      </c>
      <c r="K209">
        <v>0</v>
      </c>
      <c r="L209">
        <v>0</v>
      </c>
      <c r="M209">
        <v>0</v>
      </c>
    </row>
    <row r="210" spans="1:13" x14ac:dyDescent="0.35">
      <c r="A210" t="s">
        <v>233</v>
      </c>
      <c r="B210">
        <v>358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445</v>
      </c>
      <c r="I210">
        <v>0</v>
      </c>
      <c r="J210">
        <v>0</v>
      </c>
      <c r="K210"/>
      <c r="L210">
        <v>0</v>
      </c>
      <c r="M210">
        <v>0</v>
      </c>
    </row>
    <row r="211" spans="1:13" x14ac:dyDescent="0.35">
      <c r="A211" t="s">
        <v>229</v>
      </c>
      <c r="B211">
        <v>354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486</v>
      </c>
      <c r="I211">
        <v>1</v>
      </c>
      <c r="J211">
        <v>0</v>
      </c>
      <c r="K211">
        <v>0</v>
      </c>
      <c r="L211">
        <v>0</v>
      </c>
      <c r="M211">
        <v>0</v>
      </c>
    </row>
    <row r="212" spans="1:13" x14ac:dyDescent="0.35">
      <c r="A212" t="s">
        <v>219</v>
      </c>
      <c r="B212">
        <v>349</v>
      </c>
      <c r="C212">
        <v>59</v>
      </c>
      <c r="D212">
        <v>1</v>
      </c>
      <c r="E212" t="s">
        <v>707</v>
      </c>
      <c r="F212">
        <v>1</v>
      </c>
      <c r="G212">
        <v>750</v>
      </c>
      <c r="H212">
        <v>503</v>
      </c>
      <c r="I212">
        <v>58</v>
      </c>
      <c r="J212">
        <v>0</v>
      </c>
      <c r="K212">
        <v>0</v>
      </c>
      <c r="L212">
        <v>0</v>
      </c>
      <c r="M212">
        <v>0</v>
      </c>
    </row>
    <row r="213" spans="1:13" x14ac:dyDescent="0.35">
      <c r="A213" t="s">
        <v>238</v>
      </c>
      <c r="B213">
        <v>313</v>
      </c>
      <c r="C213">
        <v>0</v>
      </c>
      <c r="D213">
        <v>0</v>
      </c>
      <c r="E213"/>
      <c r="F213">
        <v>0</v>
      </c>
      <c r="G213">
        <v>0</v>
      </c>
      <c r="H213">
        <v>301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 x14ac:dyDescent="0.35">
      <c r="A214" t="s">
        <v>235</v>
      </c>
      <c r="B214">
        <v>312</v>
      </c>
      <c r="C214">
        <v>4</v>
      </c>
      <c r="D214">
        <v>0</v>
      </c>
      <c r="E214">
        <v>0</v>
      </c>
      <c r="F214">
        <v>0</v>
      </c>
      <c r="G214">
        <v>0</v>
      </c>
      <c r="H214">
        <v>681</v>
      </c>
      <c r="I214">
        <v>38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 t="s">
        <v>230</v>
      </c>
      <c r="B215">
        <v>307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484</v>
      </c>
      <c r="I215">
        <v>1</v>
      </c>
      <c r="J215">
        <v>0</v>
      </c>
      <c r="K215">
        <v>0</v>
      </c>
      <c r="L215">
        <v>0</v>
      </c>
      <c r="M215">
        <v>0</v>
      </c>
    </row>
    <row r="216" spans="1:13" x14ac:dyDescent="0.35">
      <c r="A216" t="s">
        <v>240</v>
      </c>
      <c r="B216">
        <v>295</v>
      </c>
      <c r="C216">
        <v>0</v>
      </c>
      <c r="D216">
        <v>0</v>
      </c>
      <c r="E216"/>
      <c r="F216">
        <v>0</v>
      </c>
      <c r="G216">
        <v>0</v>
      </c>
      <c r="H216">
        <v>258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 t="s">
        <v>242</v>
      </c>
      <c r="B217">
        <v>290</v>
      </c>
      <c r="C217">
        <v>46</v>
      </c>
      <c r="D217">
        <v>0</v>
      </c>
      <c r="E217">
        <v>0</v>
      </c>
      <c r="F217">
        <v>0</v>
      </c>
      <c r="G217">
        <v>0</v>
      </c>
      <c r="H217">
        <v>258</v>
      </c>
      <c r="I217">
        <v>61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 t="s">
        <v>243</v>
      </c>
      <c r="B218">
        <v>290</v>
      </c>
      <c r="C218">
        <v>28</v>
      </c>
      <c r="D218">
        <v>0</v>
      </c>
      <c r="E218">
        <v>0</v>
      </c>
      <c r="F218">
        <v>0</v>
      </c>
      <c r="G218">
        <v>0</v>
      </c>
      <c r="H218">
        <v>258</v>
      </c>
      <c r="I218">
        <v>50</v>
      </c>
      <c r="J218">
        <v>0</v>
      </c>
      <c r="K218">
        <v>0</v>
      </c>
      <c r="L218">
        <v>0</v>
      </c>
      <c r="M218">
        <v>0</v>
      </c>
    </row>
    <row r="219" spans="1:13" x14ac:dyDescent="0.35">
      <c r="A219" t="s">
        <v>241</v>
      </c>
      <c r="B219">
        <v>290</v>
      </c>
      <c r="C219">
        <v>25</v>
      </c>
      <c r="D219">
        <v>0</v>
      </c>
      <c r="E219">
        <v>0</v>
      </c>
      <c r="F219">
        <v>0</v>
      </c>
      <c r="G219">
        <v>0</v>
      </c>
      <c r="H219">
        <v>258</v>
      </c>
      <c r="I219">
        <v>54</v>
      </c>
      <c r="J219">
        <v>0</v>
      </c>
      <c r="K219">
        <v>0</v>
      </c>
      <c r="L219">
        <v>0</v>
      </c>
      <c r="M219">
        <v>0</v>
      </c>
    </row>
    <row r="220" spans="1:13" x14ac:dyDescent="0.35">
      <c r="A220" t="s">
        <v>231</v>
      </c>
      <c r="B220">
        <v>290</v>
      </c>
      <c r="C220">
        <v>0</v>
      </c>
      <c r="D220">
        <v>0</v>
      </c>
      <c r="E220"/>
      <c r="F220">
        <v>0</v>
      </c>
      <c r="G220">
        <v>0</v>
      </c>
      <c r="H220">
        <v>439</v>
      </c>
      <c r="I220">
        <v>0</v>
      </c>
      <c r="J220">
        <v>0</v>
      </c>
      <c r="K220"/>
      <c r="L220">
        <v>0</v>
      </c>
      <c r="M220">
        <v>0</v>
      </c>
    </row>
    <row r="221" spans="1:13" x14ac:dyDescent="0.35">
      <c r="A221" t="s">
        <v>239</v>
      </c>
      <c r="B221">
        <v>286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569</v>
      </c>
      <c r="I221">
        <v>108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 t="s">
        <v>246</v>
      </c>
      <c r="B222">
        <v>118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121</v>
      </c>
      <c r="I222">
        <v>2</v>
      </c>
      <c r="J222">
        <v>0</v>
      </c>
      <c r="K222">
        <v>0</v>
      </c>
      <c r="L222">
        <v>0</v>
      </c>
      <c r="M222">
        <v>0</v>
      </c>
    </row>
    <row r="223" spans="1:13" x14ac:dyDescent="0.35">
      <c r="A223" t="s">
        <v>245</v>
      </c>
      <c r="B223">
        <v>100</v>
      </c>
      <c r="C223">
        <v>0</v>
      </c>
      <c r="D223">
        <v>0</v>
      </c>
      <c r="E223"/>
      <c r="F223">
        <v>0</v>
      </c>
      <c r="G223">
        <v>0</v>
      </c>
      <c r="H223">
        <v>135</v>
      </c>
      <c r="I223">
        <v>0</v>
      </c>
      <c r="J223">
        <v>0</v>
      </c>
      <c r="K223"/>
      <c r="L223">
        <v>0</v>
      </c>
      <c r="M223">
        <v>0</v>
      </c>
    </row>
    <row r="224" spans="1:13" x14ac:dyDescent="0.35">
      <c r="A224" t="s">
        <v>722</v>
      </c>
      <c r="B224">
        <v>66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/>
      <c r="L224">
        <v>0</v>
      </c>
      <c r="M224">
        <v>0</v>
      </c>
    </row>
    <row r="225" spans="1:13" x14ac:dyDescent="0.35">
      <c r="A225" t="s">
        <v>252</v>
      </c>
      <c r="B225">
        <v>66</v>
      </c>
      <c r="C225">
        <v>0</v>
      </c>
      <c r="D225">
        <v>0</v>
      </c>
      <c r="E225"/>
      <c r="F225">
        <v>0</v>
      </c>
      <c r="G225">
        <v>0</v>
      </c>
      <c r="H225">
        <v>63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 x14ac:dyDescent="0.35">
      <c r="A226" t="s">
        <v>253</v>
      </c>
      <c r="B226">
        <v>63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63</v>
      </c>
      <c r="I226">
        <v>2</v>
      </c>
      <c r="J226">
        <v>0</v>
      </c>
      <c r="K226">
        <v>0</v>
      </c>
      <c r="L226">
        <v>0</v>
      </c>
      <c r="M226">
        <v>0</v>
      </c>
    </row>
    <row r="227" spans="1:13" x14ac:dyDescent="0.35">
      <c r="A227" t="s">
        <v>255</v>
      </c>
      <c r="B227">
        <v>62</v>
      </c>
      <c r="C227">
        <v>50</v>
      </c>
      <c r="D227">
        <v>0</v>
      </c>
      <c r="E227">
        <v>0</v>
      </c>
      <c r="F227">
        <v>0</v>
      </c>
      <c r="G227">
        <v>0</v>
      </c>
      <c r="H227">
        <v>63</v>
      </c>
      <c r="I227">
        <v>45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 t="s">
        <v>254</v>
      </c>
      <c r="B228">
        <v>62</v>
      </c>
      <c r="C228">
        <v>49</v>
      </c>
      <c r="D228">
        <v>0</v>
      </c>
      <c r="E228">
        <v>0</v>
      </c>
      <c r="F228">
        <v>0</v>
      </c>
      <c r="G228">
        <v>0</v>
      </c>
      <c r="H228">
        <v>63</v>
      </c>
      <c r="I228">
        <v>73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 t="s">
        <v>256</v>
      </c>
      <c r="B229">
        <v>62</v>
      </c>
      <c r="C229">
        <v>38</v>
      </c>
      <c r="D229">
        <v>0</v>
      </c>
      <c r="E229">
        <v>0</v>
      </c>
      <c r="F229">
        <v>0</v>
      </c>
      <c r="G229">
        <v>0</v>
      </c>
      <c r="H229">
        <v>63</v>
      </c>
      <c r="I229">
        <v>18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 t="s">
        <v>723</v>
      </c>
      <c r="B230">
        <v>60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/>
      <c r="L230">
        <v>0</v>
      </c>
      <c r="M230">
        <v>0</v>
      </c>
    </row>
    <row r="231" spans="1:13" x14ac:dyDescent="0.35">
      <c r="A231" t="s">
        <v>247</v>
      </c>
      <c r="B231">
        <v>60</v>
      </c>
      <c r="C231">
        <v>0</v>
      </c>
      <c r="D231">
        <v>0</v>
      </c>
      <c r="E231"/>
      <c r="F231">
        <v>0</v>
      </c>
      <c r="G231">
        <v>0</v>
      </c>
      <c r="H231">
        <v>81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 t="s">
        <v>251</v>
      </c>
      <c r="B232">
        <v>59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78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 x14ac:dyDescent="0.35">
      <c r="A233" t="s">
        <v>248</v>
      </c>
      <c r="B233">
        <v>58</v>
      </c>
      <c r="C233">
        <v>53</v>
      </c>
      <c r="D233">
        <v>0</v>
      </c>
      <c r="E233">
        <v>0</v>
      </c>
      <c r="F233">
        <v>0</v>
      </c>
      <c r="G233">
        <v>0</v>
      </c>
      <c r="H233">
        <v>78</v>
      </c>
      <c r="I233">
        <v>62</v>
      </c>
      <c r="J233">
        <v>0</v>
      </c>
      <c r="K233">
        <v>0</v>
      </c>
      <c r="L233">
        <v>0</v>
      </c>
      <c r="M233">
        <v>0</v>
      </c>
    </row>
    <row r="234" spans="1:13" x14ac:dyDescent="0.35">
      <c r="A234" t="s">
        <v>249</v>
      </c>
      <c r="B234">
        <v>58</v>
      </c>
      <c r="C234">
        <v>43</v>
      </c>
      <c r="D234">
        <v>0</v>
      </c>
      <c r="E234">
        <v>0</v>
      </c>
      <c r="F234">
        <v>0</v>
      </c>
      <c r="G234">
        <v>0</v>
      </c>
      <c r="H234">
        <v>78</v>
      </c>
      <c r="I234">
        <v>49</v>
      </c>
      <c r="J234">
        <v>0</v>
      </c>
      <c r="K234">
        <v>0</v>
      </c>
      <c r="L234">
        <v>0</v>
      </c>
      <c r="M234">
        <v>0</v>
      </c>
    </row>
    <row r="235" spans="1:13" x14ac:dyDescent="0.35">
      <c r="A235" t="s">
        <v>250</v>
      </c>
      <c r="B235">
        <v>58</v>
      </c>
      <c r="C235">
        <v>15</v>
      </c>
      <c r="D235">
        <v>0</v>
      </c>
      <c r="E235">
        <v>0</v>
      </c>
      <c r="F235">
        <v>0</v>
      </c>
      <c r="G235">
        <v>0</v>
      </c>
      <c r="H235">
        <v>78</v>
      </c>
      <c r="I235">
        <v>21</v>
      </c>
      <c r="J235">
        <v>0</v>
      </c>
      <c r="K235">
        <v>0</v>
      </c>
      <c r="L235">
        <v>0</v>
      </c>
      <c r="M235">
        <v>0</v>
      </c>
    </row>
    <row r="236" spans="1:13" x14ac:dyDescent="0.35">
      <c r="A236" t="s">
        <v>724</v>
      </c>
      <c r="B236">
        <v>53</v>
      </c>
      <c r="C236">
        <v>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/>
      <c r="L236">
        <v>0</v>
      </c>
      <c r="M236">
        <v>0</v>
      </c>
    </row>
    <row r="237" spans="1:13" x14ac:dyDescent="0.35">
      <c r="A237" t="s">
        <v>725</v>
      </c>
      <c r="B237">
        <v>48</v>
      </c>
      <c r="C237">
        <v>0</v>
      </c>
      <c r="D237">
        <v>0</v>
      </c>
      <c r="E237"/>
      <c r="F237">
        <v>0</v>
      </c>
      <c r="G237">
        <v>0</v>
      </c>
      <c r="H237">
        <v>0</v>
      </c>
      <c r="I237">
        <v>0</v>
      </c>
      <c r="J237">
        <v>0</v>
      </c>
      <c r="K237"/>
      <c r="L237">
        <v>0</v>
      </c>
      <c r="M237">
        <v>0</v>
      </c>
    </row>
    <row r="238" spans="1:13" x14ac:dyDescent="0.35">
      <c r="A238" t="s">
        <v>726</v>
      </c>
      <c r="B238">
        <v>46</v>
      </c>
      <c r="C238">
        <v>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/>
      <c r="L238">
        <v>0</v>
      </c>
      <c r="M238">
        <v>0</v>
      </c>
    </row>
    <row r="239" spans="1:13" x14ac:dyDescent="0.35">
      <c r="A239" t="s">
        <v>727</v>
      </c>
      <c r="B239">
        <v>42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/>
      <c r="L239">
        <v>0</v>
      </c>
      <c r="M239">
        <v>0</v>
      </c>
    </row>
    <row r="240" spans="1:13" x14ac:dyDescent="0.35">
      <c r="A240" t="s">
        <v>728</v>
      </c>
      <c r="B240">
        <v>42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/>
      <c r="L240">
        <v>0</v>
      </c>
      <c r="M240">
        <v>0</v>
      </c>
    </row>
    <row r="241" spans="1:13" x14ac:dyDescent="0.35">
      <c r="A241" t="s">
        <v>729</v>
      </c>
      <c r="B241">
        <v>39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/>
      <c r="L241">
        <v>0</v>
      </c>
      <c r="M241">
        <v>0</v>
      </c>
    </row>
    <row r="242" spans="1:13" x14ac:dyDescent="0.35">
      <c r="A242" t="s">
        <v>730</v>
      </c>
      <c r="B242">
        <v>38</v>
      </c>
      <c r="C242">
        <v>0</v>
      </c>
      <c r="D242">
        <v>0</v>
      </c>
      <c r="E242"/>
      <c r="F242">
        <v>0</v>
      </c>
      <c r="G242">
        <v>0</v>
      </c>
      <c r="H242">
        <v>0</v>
      </c>
      <c r="I242">
        <v>0</v>
      </c>
      <c r="J242">
        <v>0</v>
      </c>
      <c r="K242"/>
      <c r="L242">
        <v>0</v>
      </c>
      <c r="M242">
        <v>0</v>
      </c>
    </row>
    <row r="243" spans="1:13" x14ac:dyDescent="0.35">
      <c r="A243" t="s">
        <v>731</v>
      </c>
      <c r="B243">
        <v>33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/>
      <c r="L243">
        <v>0</v>
      </c>
      <c r="M243">
        <v>0</v>
      </c>
    </row>
    <row r="244" spans="1:13" x14ac:dyDescent="0.35">
      <c r="A244" t="s">
        <v>732</v>
      </c>
      <c r="B244">
        <v>28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/>
      <c r="L244">
        <v>0</v>
      </c>
      <c r="M244">
        <v>0</v>
      </c>
    </row>
    <row r="245" spans="1:13" x14ac:dyDescent="0.35">
      <c r="A245" t="s">
        <v>733</v>
      </c>
      <c r="B245">
        <v>27</v>
      </c>
      <c r="C245">
        <v>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/>
      <c r="L245">
        <v>0</v>
      </c>
      <c r="M245">
        <v>0</v>
      </c>
    </row>
    <row r="246" spans="1:13" x14ac:dyDescent="0.35">
      <c r="A246" t="s">
        <v>734</v>
      </c>
      <c r="B246">
        <v>27</v>
      </c>
      <c r="C246">
        <v>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/>
      <c r="L246">
        <v>0</v>
      </c>
      <c r="M246">
        <v>0</v>
      </c>
    </row>
    <row r="247" spans="1:13" x14ac:dyDescent="0.35">
      <c r="A247" t="s">
        <v>735</v>
      </c>
      <c r="B247">
        <v>23</v>
      </c>
      <c r="C247">
        <v>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/>
      <c r="L247">
        <v>0</v>
      </c>
      <c r="M247">
        <v>0</v>
      </c>
    </row>
    <row r="248" spans="1:13" x14ac:dyDescent="0.35">
      <c r="A248" t="s">
        <v>736</v>
      </c>
      <c r="B248">
        <v>23</v>
      </c>
      <c r="C248">
        <v>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/>
      <c r="L248">
        <v>0</v>
      </c>
      <c r="M248">
        <v>0</v>
      </c>
    </row>
    <row r="249" spans="1:13" x14ac:dyDescent="0.35">
      <c r="A249" t="s">
        <v>737</v>
      </c>
      <c r="B249">
        <v>23</v>
      </c>
      <c r="C249">
        <v>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/>
      <c r="L249">
        <v>0</v>
      </c>
      <c r="M249">
        <v>0</v>
      </c>
    </row>
    <row r="250" spans="1:13" x14ac:dyDescent="0.35">
      <c r="A250" t="s">
        <v>738</v>
      </c>
      <c r="B250">
        <v>10</v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/>
      <c r="L250">
        <v>0</v>
      </c>
      <c r="M250">
        <v>0</v>
      </c>
    </row>
    <row r="251" spans="1:13" x14ac:dyDescent="0.35">
      <c r="A251" t="s">
        <v>739</v>
      </c>
      <c r="B251">
        <v>1</v>
      </c>
      <c r="C251">
        <v>0</v>
      </c>
      <c r="D251">
        <v>0</v>
      </c>
      <c r="E251"/>
      <c r="F251">
        <v>0</v>
      </c>
      <c r="G251">
        <v>0</v>
      </c>
      <c r="H251">
        <v>0</v>
      </c>
      <c r="I251">
        <v>0</v>
      </c>
      <c r="J251">
        <v>0</v>
      </c>
      <c r="K251"/>
      <c r="L251">
        <v>0</v>
      </c>
      <c r="M251">
        <v>0</v>
      </c>
    </row>
    <row r="252" spans="1:13" x14ac:dyDescent="0.35">
      <c r="A252" t="s">
        <v>22</v>
      </c>
      <c r="B252">
        <v>0</v>
      </c>
      <c r="C252">
        <v>182</v>
      </c>
      <c r="D252">
        <v>3</v>
      </c>
      <c r="E252" t="s">
        <v>740</v>
      </c>
      <c r="F252">
        <v>3</v>
      </c>
      <c r="G252">
        <v>15</v>
      </c>
      <c r="H252">
        <v>102339</v>
      </c>
      <c r="I252">
        <v>36242</v>
      </c>
      <c r="J252">
        <v>12659</v>
      </c>
      <c r="K252" t="s">
        <v>741</v>
      </c>
      <c r="L252">
        <v>13661</v>
      </c>
      <c r="M252">
        <v>68305</v>
      </c>
    </row>
    <row r="253" spans="1:13" x14ac:dyDescent="0.35">
      <c r="A253" t="s">
        <v>23</v>
      </c>
      <c r="B253">
        <v>0</v>
      </c>
      <c r="C253">
        <v>43</v>
      </c>
      <c r="D253">
        <v>2</v>
      </c>
      <c r="E253" t="s">
        <v>655</v>
      </c>
      <c r="F253">
        <v>2</v>
      </c>
      <c r="G253">
        <v>20</v>
      </c>
      <c r="H253">
        <v>102382</v>
      </c>
      <c r="I253">
        <v>22227</v>
      </c>
      <c r="J253">
        <v>8628</v>
      </c>
      <c r="K253" t="s">
        <v>742</v>
      </c>
      <c r="L253">
        <v>9261</v>
      </c>
      <c r="M253">
        <v>92610</v>
      </c>
    </row>
    <row r="254" spans="1:13" x14ac:dyDescent="0.35">
      <c r="A254" t="s">
        <v>24</v>
      </c>
      <c r="B254">
        <v>0</v>
      </c>
      <c r="C254">
        <v>22</v>
      </c>
      <c r="D254">
        <v>0</v>
      </c>
      <c r="E254">
        <v>0</v>
      </c>
      <c r="F254">
        <v>0</v>
      </c>
      <c r="G254">
        <v>0</v>
      </c>
      <c r="H254">
        <v>101284</v>
      </c>
      <c r="I254">
        <v>17414</v>
      </c>
      <c r="J254">
        <v>7237</v>
      </c>
      <c r="K254" t="s">
        <v>743</v>
      </c>
      <c r="L254">
        <v>8292</v>
      </c>
      <c r="M254">
        <v>165840</v>
      </c>
    </row>
    <row r="255" spans="1:13" x14ac:dyDescent="0.35">
      <c r="A255" t="s">
        <v>257</v>
      </c>
      <c r="B255">
        <v>0</v>
      </c>
      <c r="C255">
        <v>21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67</v>
      </c>
      <c r="J255">
        <v>14</v>
      </c>
      <c r="K255" t="s">
        <v>744</v>
      </c>
      <c r="L255">
        <v>18</v>
      </c>
      <c r="M255">
        <v>90</v>
      </c>
    </row>
    <row r="256" spans="1:13" x14ac:dyDescent="0.35">
      <c r="A256" t="s">
        <v>37</v>
      </c>
      <c r="B256">
        <v>0</v>
      </c>
      <c r="C256">
        <v>13</v>
      </c>
      <c r="D256">
        <v>0</v>
      </c>
      <c r="E256">
        <v>0</v>
      </c>
      <c r="F256">
        <v>0</v>
      </c>
      <c r="G256">
        <v>0</v>
      </c>
      <c r="H256">
        <v>50255</v>
      </c>
      <c r="I256">
        <v>3658</v>
      </c>
      <c r="J256">
        <v>518</v>
      </c>
      <c r="K256" t="s">
        <v>745</v>
      </c>
      <c r="L256">
        <v>541</v>
      </c>
      <c r="M256">
        <v>5410</v>
      </c>
    </row>
    <row r="257" spans="1:13" x14ac:dyDescent="0.35">
      <c r="A257" t="s">
        <v>29</v>
      </c>
      <c r="B257">
        <v>0</v>
      </c>
      <c r="C257">
        <v>8</v>
      </c>
      <c r="D257">
        <v>0</v>
      </c>
      <c r="E257">
        <v>0</v>
      </c>
      <c r="F257">
        <v>0</v>
      </c>
      <c r="G257">
        <v>0</v>
      </c>
      <c r="H257">
        <v>97359</v>
      </c>
      <c r="I257">
        <v>8470</v>
      </c>
      <c r="J257">
        <v>3531</v>
      </c>
      <c r="K257" t="s">
        <v>746</v>
      </c>
      <c r="L257">
        <v>3704</v>
      </c>
      <c r="M257">
        <v>185200</v>
      </c>
    </row>
    <row r="258" spans="1:13" x14ac:dyDescent="0.35">
      <c r="A258" t="s">
        <v>38</v>
      </c>
      <c r="B258">
        <v>0</v>
      </c>
      <c r="C258">
        <v>8</v>
      </c>
      <c r="D258">
        <v>0</v>
      </c>
      <c r="E258">
        <v>0</v>
      </c>
      <c r="F258">
        <v>0</v>
      </c>
      <c r="G258">
        <v>0</v>
      </c>
      <c r="H258">
        <v>43468</v>
      </c>
      <c r="I258">
        <v>2602</v>
      </c>
      <c r="J258">
        <v>529</v>
      </c>
      <c r="K258" t="s">
        <v>747</v>
      </c>
      <c r="L258">
        <v>556</v>
      </c>
      <c r="M258">
        <v>5560</v>
      </c>
    </row>
    <row r="259" spans="1:13" x14ac:dyDescent="0.35">
      <c r="A259" t="s">
        <v>28</v>
      </c>
      <c r="B259">
        <v>0</v>
      </c>
      <c r="C259">
        <v>7</v>
      </c>
      <c r="D259">
        <v>0</v>
      </c>
      <c r="E259">
        <v>0</v>
      </c>
      <c r="F259">
        <v>0</v>
      </c>
      <c r="G259">
        <v>0</v>
      </c>
      <c r="H259">
        <v>92654</v>
      </c>
      <c r="I259">
        <v>4054</v>
      </c>
      <c r="J259">
        <v>855</v>
      </c>
      <c r="K259" t="s">
        <v>748</v>
      </c>
      <c r="L259">
        <v>1779</v>
      </c>
      <c r="M259">
        <v>177900</v>
      </c>
    </row>
    <row r="260" spans="1:13" x14ac:dyDescent="0.35">
      <c r="A260" t="s">
        <v>69</v>
      </c>
      <c r="B260">
        <v>0</v>
      </c>
      <c r="C260">
        <v>7</v>
      </c>
      <c r="D260">
        <v>0</v>
      </c>
      <c r="E260">
        <v>0</v>
      </c>
      <c r="F260">
        <v>0</v>
      </c>
      <c r="G260">
        <v>0</v>
      </c>
      <c r="H260">
        <v>11869</v>
      </c>
      <c r="I260">
        <v>2323</v>
      </c>
      <c r="J260">
        <v>186</v>
      </c>
      <c r="K260" t="s">
        <v>749</v>
      </c>
      <c r="L260">
        <v>513</v>
      </c>
      <c r="M260" t="s">
        <v>301</v>
      </c>
    </row>
    <row r="261" spans="1:13" x14ac:dyDescent="0.35">
      <c r="A261" t="s">
        <v>258</v>
      </c>
      <c r="B261">
        <v>0</v>
      </c>
      <c r="C26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15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 t="s">
        <v>116</v>
      </c>
      <c r="B262">
        <v>0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/>
      <c r="L262">
        <v>0</v>
      </c>
      <c r="M262">
        <v>0</v>
      </c>
    </row>
    <row r="263" spans="1:13" x14ac:dyDescent="0.35">
      <c r="A263" t="s">
        <v>25</v>
      </c>
      <c r="B263">
        <v>0</v>
      </c>
      <c r="C263">
        <v>5</v>
      </c>
      <c r="D263">
        <v>0</v>
      </c>
      <c r="E263">
        <v>0</v>
      </c>
      <c r="F263">
        <v>0</v>
      </c>
      <c r="G263">
        <v>0</v>
      </c>
      <c r="H263">
        <v>93972</v>
      </c>
      <c r="I263">
        <v>5007</v>
      </c>
      <c r="J263">
        <v>359</v>
      </c>
      <c r="K263" t="s">
        <v>750</v>
      </c>
      <c r="L263">
        <v>400</v>
      </c>
      <c r="M263">
        <v>10000</v>
      </c>
    </row>
    <row r="264" spans="1:13" x14ac:dyDescent="0.35">
      <c r="A264" t="s">
        <v>30</v>
      </c>
      <c r="B264">
        <v>0</v>
      </c>
      <c r="C264">
        <v>4</v>
      </c>
      <c r="D264">
        <v>0</v>
      </c>
      <c r="E264">
        <v>0</v>
      </c>
      <c r="F264">
        <v>0</v>
      </c>
      <c r="G264">
        <v>0</v>
      </c>
      <c r="H264">
        <v>96546</v>
      </c>
      <c r="I264">
        <v>11013</v>
      </c>
      <c r="J264">
        <v>3044</v>
      </c>
      <c r="K264" t="s">
        <v>751</v>
      </c>
      <c r="L264">
        <v>4806</v>
      </c>
      <c r="M264">
        <v>480600</v>
      </c>
    </row>
    <row r="265" spans="1:13" x14ac:dyDescent="0.35">
      <c r="A265" t="s">
        <v>98</v>
      </c>
      <c r="B265">
        <v>0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7093</v>
      </c>
      <c r="I265">
        <v>379</v>
      </c>
      <c r="J265">
        <v>97</v>
      </c>
      <c r="K265" t="s">
        <v>752</v>
      </c>
      <c r="L265">
        <v>140</v>
      </c>
      <c r="M265">
        <v>140000</v>
      </c>
    </row>
    <row r="266" spans="1:13" x14ac:dyDescent="0.35">
      <c r="A266" t="s">
        <v>261</v>
      </c>
      <c r="B266">
        <v>0</v>
      </c>
      <c r="C266">
        <v>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4</v>
      </c>
      <c r="J266">
        <v>0</v>
      </c>
      <c r="K266">
        <v>0</v>
      </c>
      <c r="L266">
        <v>0</v>
      </c>
      <c r="M266">
        <v>0</v>
      </c>
    </row>
    <row r="267" spans="1:13" x14ac:dyDescent="0.35">
      <c r="A267" t="s">
        <v>753</v>
      </c>
      <c r="B267">
        <v>0</v>
      </c>
      <c r="C267">
        <v>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/>
      <c r="L267">
        <v>0</v>
      </c>
      <c r="M267">
        <v>0</v>
      </c>
    </row>
    <row r="268" spans="1:13" x14ac:dyDescent="0.35">
      <c r="A268" t="s">
        <v>262</v>
      </c>
      <c r="B268">
        <v>0</v>
      </c>
      <c r="C268">
        <v>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/>
      <c r="L268">
        <v>0</v>
      </c>
      <c r="M268">
        <v>0</v>
      </c>
    </row>
    <row r="269" spans="1:13" x14ac:dyDescent="0.35">
      <c r="A269" t="s">
        <v>157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 x14ac:dyDescent="0.35">
      <c r="A270" t="s">
        <v>263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/>
      <c r="L270">
        <v>0</v>
      </c>
      <c r="M270">
        <v>0</v>
      </c>
    </row>
    <row r="271" spans="1:13" x14ac:dyDescent="0.35">
      <c r="A271" t="s">
        <v>56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27104</v>
      </c>
      <c r="I271">
        <v>2197</v>
      </c>
      <c r="J271">
        <v>463</v>
      </c>
      <c r="K271" t="s">
        <v>754</v>
      </c>
      <c r="L271">
        <v>539</v>
      </c>
      <c r="M271">
        <v>10780</v>
      </c>
    </row>
    <row r="272" spans="1:13" x14ac:dyDescent="0.35">
      <c r="A272" t="s">
        <v>68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20351</v>
      </c>
      <c r="I272">
        <v>1276</v>
      </c>
      <c r="J272">
        <v>304</v>
      </c>
      <c r="K272" t="s">
        <v>755</v>
      </c>
      <c r="L272">
        <v>327</v>
      </c>
      <c r="M272">
        <v>6540</v>
      </c>
    </row>
    <row r="273" spans="1:13" x14ac:dyDescent="0.35">
      <c r="A273" t="s">
        <v>77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13185</v>
      </c>
      <c r="I273">
        <v>715</v>
      </c>
      <c r="J273">
        <v>139</v>
      </c>
      <c r="K273" t="s">
        <v>756</v>
      </c>
      <c r="L273">
        <v>157</v>
      </c>
      <c r="M273">
        <v>3925</v>
      </c>
    </row>
    <row r="274" spans="1:13" x14ac:dyDescent="0.35">
      <c r="A274" t="s">
        <v>132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2212</v>
      </c>
      <c r="I274">
        <v>229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 t="s">
        <v>265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 x14ac:dyDescent="0.35">
      <c r="A276" t="s">
        <v>26</v>
      </c>
      <c r="B276">
        <v>0</v>
      </c>
      <c r="C276">
        <v>0</v>
      </c>
      <c r="D276">
        <v>0</v>
      </c>
      <c r="E276"/>
      <c r="F276">
        <v>0</v>
      </c>
      <c r="G276">
        <v>0</v>
      </c>
      <c r="H276">
        <v>92896</v>
      </c>
      <c r="I276">
        <v>1763</v>
      </c>
      <c r="J276">
        <v>354</v>
      </c>
      <c r="K276" t="s">
        <v>757</v>
      </c>
      <c r="L276">
        <v>397</v>
      </c>
      <c r="M276">
        <v>19850</v>
      </c>
    </row>
    <row r="277" spans="1:13" x14ac:dyDescent="0.35">
      <c r="A277" t="s">
        <v>27</v>
      </c>
      <c r="B277">
        <v>0</v>
      </c>
      <c r="C277">
        <v>0</v>
      </c>
      <c r="D277">
        <v>0</v>
      </c>
      <c r="E277"/>
      <c r="F277">
        <v>0</v>
      </c>
      <c r="G277">
        <v>0</v>
      </c>
      <c r="H277">
        <v>92694</v>
      </c>
      <c r="I277">
        <v>660</v>
      </c>
      <c r="J277">
        <v>128</v>
      </c>
      <c r="K277" t="s">
        <v>758</v>
      </c>
      <c r="L277">
        <v>133</v>
      </c>
      <c r="M277">
        <v>9975</v>
      </c>
    </row>
    <row r="278" spans="1:13" x14ac:dyDescent="0.35">
      <c r="A278" t="s">
        <v>72</v>
      </c>
      <c r="B278">
        <v>0</v>
      </c>
      <c r="C278">
        <v>0</v>
      </c>
      <c r="D278">
        <v>0</v>
      </c>
      <c r="E278"/>
      <c r="F278">
        <v>0</v>
      </c>
      <c r="G278">
        <v>0</v>
      </c>
      <c r="H278">
        <v>10057</v>
      </c>
      <c r="I278">
        <v>42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 t="s">
        <v>79</v>
      </c>
      <c r="B279">
        <v>0</v>
      </c>
      <c r="C279">
        <v>0</v>
      </c>
      <c r="D279">
        <v>0</v>
      </c>
      <c r="E279"/>
      <c r="F279">
        <v>0</v>
      </c>
      <c r="G279">
        <v>0</v>
      </c>
      <c r="H279">
        <v>9912</v>
      </c>
      <c r="I279">
        <v>735</v>
      </c>
      <c r="J279">
        <v>219</v>
      </c>
      <c r="K279" t="s">
        <v>759</v>
      </c>
      <c r="L279">
        <v>222</v>
      </c>
      <c r="M279">
        <v>11100</v>
      </c>
    </row>
    <row r="280" spans="1:13" x14ac:dyDescent="0.35">
      <c r="A280" t="s">
        <v>89</v>
      </c>
      <c r="B280">
        <v>0</v>
      </c>
      <c r="C280">
        <v>0</v>
      </c>
      <c r="D280">
        <v>0</v>
      </c>
      <c r="E280"/>
      <c r="F280">
        <v>0</v>
      </c>
      <c r="G280">
        <v>0</v>
      </c>
      <c r="H280">
        <v>7465</v>
      </c>
      <c r="I280">
        <v>508</v>
      </c>
      <c r="J280">
        <v>125</v>
      </c>
      <c r="K280" t="s">
        <v>760</v>
      </c>
      <c r="L280">
        <v>129</v>
      </c>
      <c r="M280">
        <v>3870</v>
      </c>
    </row>
    <row r="281" spans="1:13" x14ac:dyDescent="0.35">
      <c r="A281" t="s">
        <v>93</v>
      </c>
      <c r="B281">
        <v>0</v>
      </c>
      <c r="C281">
        <v>0</v>
      </c>
      <c r="D281">
        <v>0</v>
      </c>
      <c r="E281"/>
      <c r="F281">
        <v>0</v>
      </c>
      <c r="G281">
        <v>0</v>
      </c>
      <c r="H281">
        <v>7363</v>
      </c>
      <c r="I281">
        <v>554</v>
      </c>
      <c r="J281">
        <v>215</v>
      </c>
      <c r="K281" t="s">
        <v>761</v>
      </c>
      <c r="L281">
        <v>231</v>
      </c>
      <c r="M281">
        <v>23100</v>
      </c>
    </row>
    <row r="282" spans="1:13" x14ac:dyDescent="0.35">
      <c r="A282" t="s">
        <v>97</v>
      </c>
      <c r="B282">
        <v>0</v>
      </c>
      <c r="C282">
        <v>0</v>
      </c>
      <c r="D282">
        <v>0</v>
      </c>
      <c r="E282"/>
      <c r="F282">
        <v>0</v>
      </c>
      <c r="G282">
        <v>0</v>
      </c>
      <c r="H282">
        <v>7162</v>
      </c>
      <c r="I282">
        <v>410</v>
      </c>
      <c r="J282">
        <v>80</v>
      </c>
      <c r="K282" t="s">
        <v>762</v>
      </c>
      <c r="L282">
        <v>86</v>
      </c>
      <c r="M282">
        <v>17200</v>
      </c>
    </row>
    <row r="283" spans="1:13" x14ac:dyDescent="0.35">
      <c r="A283" t="s">
        <v>99</v>
      </c>
      <c r="B283">
        <v>0</v>
      </c>
      <c r="C283">
        <v>0</v>
      </c>
      <c r="D283">
        <v>0</v>
      </c>
      <c r="E283"/>
      <c r="F283">
        <v>0</v>
      </c>
      <c r="G283">
        <v>0</v>
      </c>
      <c r="H283">
        <v>7093</v>
      </c>
      <c r="I283">
        <v>225</v>
      </c>
      <c r="J283">
        <v>64</v>
      </c>
      <c r="K283" t="s">
        <v>763</v>
      </c>
      <c r="L283">
        <v>65</v>
      </c>
      <c r="M283">
        <v>32500</v>
      </c>
    </row>
    <row r="284" spans="1:13" x14ac:dyDescent="0.35">
      <c r="A284" t="s">
        <v>95</v>
      </c>
      <c r="B284">
        <v>0</v>
      </c>
      <c r="C284">
        <v>0</v>
      </c>
      <c r="D284">
        <v>0</v>
      </c>
      <c r="E284"/>
      <c r="F284">
        <v>0</v>
      </c>
      <c r="G284">
        <v>0</v>
      </c>
      <c r="H284">
        <v>6508</v>
      </c>
      <c r="I284">
        <v>772</v>
      </c>
      <c r="J284">
        <v>212</v>
      </c>
      <c r="K284" t="s">
        <v>764</v>
      </c>
      <c r="L284">
        <v>246</v>
      </c>
      <c r="M284">
        <v>12300</v>
      </c>
    </row>
    <row r="285" spans="1:13" x14ac:dyDescent="0.35">
      <c r="A285" t="s">
        <v>108</v>
      </c>
      <c r="B285">
        <v>0</v>
      </c>
      <c r="C285">
        <v>0</v>
      </c>
      <c r="D285">
        <v>0</v>
      </c>
      <c r="E285"/>
      <c r="F285">
        <v>0</v>
      </c>
      <c r="G285">
        <v>0</v>
      </c>
      <c r="H285">
        <v>5044</v>
      </c>
      <c r="I285">
        <v>283</v>
      </c>
      <c r="J285">
        <v>89</v>
      </c>
      <c r="K285" t="s">
        <v>765</v>
      </c>
      <c r="L285">
        <v>102</v>
      </c>
      <c r="M285">
        <v>10200</v>
      </c>
    </row>
    <row r="286" spans="1:13" x14ac:dyDescent="0.35">
      <c r="A286" t="s">
        <v>109</v>
      </c>
      <c r="B286">
        <v>0</v>
      </c>
      <c r="C286">
        <v>0</v>
      </c>
      <c r="D286">
        <v>0</v>
      </c>
      <c r="E286"/>
      <c r="F286">
        <v>0</v>
      </c>
      <c r="G286">
        <v>0</v>
      </c>
      <c r="H286">
        <v>4900</v>
      </c>
      <c r="I286">
        <v>172</v>
      </c>
      <c r="J286">
        <v>42</v>
      </c>
      <c r="K286" t="s">
        <v>766</v>
      </c>
      <c r="L286">
        <v>42</v>
      </c>
      <c r="M286">
        <v>6300</v>
      </c>
    </row>
    <row r="287" spans="1:13" x14ac:dyDescent="0.35">
      <c r="A287" t="s">
        <v>110</v>
      </c>
      <c r="B287">
        <v>0</v>
      </c>
      <c r="C287">
        <v>0</v>
      </c>
      <c r="D287">
        <v>0</v>
      </c>
      <c r="E287"/>
      <c r="F287">
        <v>0</v>
      </c>
      <c r="G287">
        <v>0</v>
      </c>
      <c r="H287">
        <v>4874</v>
      </c>
      <c r="I287">
        <v>185</v>
      </c>
      <c r="J287">
        <v>55</v>
      </c>
      <c r="K287" t="s">
        <v>767</v>
      </c>
      <c r="L287">
        <v>69</v>
      </c>
      <c r="M287">
        <v>17250</v>
      </c>
    </row>
    <row r="288" spans="1:13" x14ac:dyDescent="0.35">
      <c r="A288" t="s">
        <v>114</v>
      </c>
      <c r="B288">
        <v>0</v>
      </c>
      <c r="C288">
        <v>0</v>
      </c>
      <c r="D288">
        <v>0</v>
      </c>
      <c r="E288"/>
      <c r="F288">
        <v>0</v>
      </c>
      <c r="G288">
        <v>0</v>
      </c>
      <c r="H288">
        <v>2455</v>
      </c>
      <c r="I288">
        <v>45</v>
      </c>
      <c r="J288">
        <v>4</v>
      </c>
      <c r="K288" t="s">
        <v>768</v>
      </c>
      <c r="L288">
        <v>5</v>
      </c>
      <c r="M288" t="s">
        <v>350</v>
      </c>
    </row>
    <row r="289" spans="1:13" x14ac:dyDescent="0.35">
      <c r="A289" t="s">
        <v>138</v>
      </c>
      <c r="B289">
        <v>0</v>
      </c>
      <c r="C289">
        <v>0</v>
      </c>
      <c r="D289">
        <v>0</v>
      </c>
      <c r="E289"/>
      <c r="F289">
        <v>0</v>
      </c>
      <c r="G289">
        <v>0</v>
      </c>
      <c r="H289">
        <v>2147</v>
      </c>
      <c r="I289">
        <v>249</v>
      </c>
      <c r="J289">
        <v>0</v>
      </c>
      <c r="K289">
        <v>0</v>
      </c>
      <c r="L289">
        <v>1</v>
      </c>
      <c r="M289">
        <v>300</v>
      </c>
    </row>
    <row r="290" spans="1:13" x14ac:dyDescent="0.35">
      <c r="A290" t="s">
        <v>130</v>
      </c>
      <c r="B290">
        <v>0</v>
      </c>
      <c r="C290">
        <v>0</v>
      </c>
      <c r="D290">
        <v>0</v>
      </c>
      <c r="E290"/>
      <c r="F290">
        <v>0</v>
      </c>
      <c r="G290">
        <v>0</v>
      </c>
      <c r="H290">
        <v>1200</v>
      </c>
      <c r="I290">
        <v>60</v>
      </c>
      <c r="J290">
        <v>6</v>
      </c>
      <c r="K290" t="s">
        <v>668</v>
      </c>
      <c r="L290">
        <v>7</v>
      </c>
      <c r="M290">
        <v>7000</v>
      </c>
    </row>
    <row r="291" spans="1:13" x14ac:dyDescent="0.35">
      <c r="A291" t="s">
        <v>210</v>
      </c>
      <c r="B291">
        <v>0</v>
      </c>
      <c r="C291">
        <v>0</v>
      </c>
      <c r="D291">
        <v>0</v>
      </c>
      <c r="E291"/>
      <c r="F291">
        <v>0</v>
      </c>
      <c r="G291">
        <v>0</v>
      </c>
      <c r="H291">
        <v>523</v>
      </c>
      <c r="I291">
        <v>45</v>
      </c>
      <c r="J291">
        <v>1</v>
      </c>
      <c r="K291" t="s">
        <v>769</v>
      </c>
      <c r="L291">
        <v>3</v>
      </c>
      <c r="M291">
        <v>750</v>
      </c>
    </row>
    <row r="292" spans="1:13" x14ac:dyDescent="0.35">
      <c r="A292" t="s">
        <v>218</v>
      </c>
      <c r="B292">
        <v>0</v>
      </c>
      <c r="C292">
        <v>0</v>
      </c>
      <c r="D292">
        <v>0</v>
      </c>
      <c r="E292"/>
      <c r="F292">
        <v>0</v>
      </c>
      <c r="G292">
        <v>0</v>
      </c>
      <c r="H292">
        <v>450</v>
      </c>
      <c r="I292">
        <v>29</v>
      </c>
      <c r="J292">
        <v>0</v>
      </c>
      <c r="K292">
        <v>0</v>
      </c>
      <c r="L292">
        <v>0</v>
      </c>
      <c r="M292">
        <v>0</v>
      </c>
    </row>
    <row r="293" spans="1:13" x14ac:dyDescent="0.35">
      <c r="A293" t="s">
        <v>173</v>
      </c>
      <c r="B293">
        <v>0</v>
      </c>
      <c r="C293">
        <v>0</v>
      </c>
      <c r="D293">
        <v>0</v>
      </c>
      <c r="E293"/>
      <c r="F293">
        <v>0</v>
      </c>
      <c r="G293">
        <v>0</v>
      </c>
      <c r="H293">
        <v>404</v>
      </c>
      <c r="I293">
        <v>33</v>
      </c>
      <c r="J293">
        <v>0</v>
      </c>
      <c r="K293">
        <v>0</v>
      </c>
      <c r="L293">
        <v>0</v>
      </c>
      <c r="M293">
        <v>0</v>
      </c>
    </row>
    <row r="294" spans="1:13" x14ac:dyDescent="0.35">
      <c r="A294" t="s">
        <v>204</v>
      </c>
      <c r="B294">
        <v>0</v>
      </c>
      <c r="C294">
        <v>0</v>
      </c>
      <c r="D294">
        <v>0</v>
      </c>
      <c r="E294"/>
      <c r="F294">
        <v>0</v>
      </c>
      <c r="G294">
        <v>0</v>
      </c>
      <c r="H294">
        <v>396</v>
      </c>
      <c r="I294">
        <v>37</v>
      </c>
      <c r="J294">
        <v>0</v>
      </c>
      <c r="K294">
        <v>0</v>
      </c>
      <c r="L294">
        <v>0</v>
      </c>
      <c r="M294">
        <v>0</v>
      </c>
    </row>
    <row r="295" spans="1:13" x14ac:dyDescent="0.35">
      <c r="A295" t="s">
        <v>119</v>
      </c>
      <c r="B295">
        <v>0</v>
      </c>
      <c r="C295">
        <v>0</v>
      </c>
      <c r="D295">
        <v>0</v>
      </c>
      <c r="E295"/>
      <c r="F295">
        <v>0</v>
      </c>
      <c r="G295">
        <v>0</v>
      </c>
      <c r="H295">
        <v>382</v>
      </c>
      <c r="I295">
        <v>64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 t="s">
        <v>370</v>
      </c>
      <c r="B296">
        <v>0</v>
      </c>
      <c r="C296">
        <v>0</v>
      </c>
      <c r="D296">
        <v>0</v>
      </c>
      <c r="E296"/>
      <c r="F296">
        <v>0</v>
      </c>
      <c r="G296">
        <v>0</v>
      </c>
      <c r="H296">
        <v>225</v>
      </c>
      <c r="I296">
        <v>9</v>
      </c>
      <c r="J296">
        <v>0</v>
      </c>
      <c r="K296">
        <v>0</v>
      </c>
      <c r="L296">
        <v>0</v>
      </c>
      <c r="M296">
        <v>0</v>
      </c>
    </row>
    <row r="297" spans="1:13" x14ac:dyDescent="0.35">
      <c r="A297" t="s">
        <v>375</v>
      </c>
      <c r="B297">
        <v>0</v>
      </c>
      <c r="C297">
        <v>0</v>
      </c>
      <c r="D297">
        <v>0</v>
      </c>
      <c r="E297"/>
      <c r="F297">
        <v>0</v>
      </c>
      <c r="G297">
        <v>0</v>
      </c>
      <c r="H297">
        <v>66</v>
      </c>
      <c r="I297">
        <v>3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 t="s">
        <v>377</v>
      </c>
      <c r="B298">
        <v>0</v>
      </c>
      <c r="C298">
        <v>0</v>
      </c>
      <c r="D298">
        <v>0</v>
      </c>
      <c r="E298"/>
      <c r="F298">
        <v>0</v>
      </c>
      <c r="G298">
        <v>0</v>
      </c>
      <c r="H298">
        <v>3</v>
      </c>
      <c r="I298">
        <v>0</v>
      </c>
      <c r="J298">
        <v>0</v>
      </c>
      <c r="K298"/>
      <c r="L298">
        <v>0</v>
      </c>
      <c r="M298">
        <v>0</v>
      </c>
    </row>
    <row r="299" spans="1:13" x14ac:dyDescent="0.35">
      <c r="A299" t="s">
        <v>259</v>
      </c>
      <c r="B299">
        <v>0</v>
      </c>
      <c r="C299">
        <v>0</v>
      </c>
      <c r="D299">
        <v>0</v>
      </c>
      <c r="E299"/>
      <c r="F299">
        <v>0</v>
      </c>
      <c r="G299">
        <v>0</v>
      </c>
      <c r="H299">
        <v>0</v>
      </c>
      <c r="I299">
        <v>9</v>
      </c>
      <c r="J299">
        <v>0</v>
      </c>
      <c r="K299">
        <v>0</v>
      </c>
      <c r="L299">
        <v>0</v>
      </c>
      <c r="M299">
        <v>0</v>
      </c>
    </row>
    <row r="300" spans="1:13" x14ac:dyDescent="0.35">
      <c r="A300" t="s">
        <v>264</v>
      </c>
      <c r="B300">
        <v>0</v>
      </c>
      <c r="C300">
        <v>0</v>
      </c>
      <c r="D300">
        <v>0</v>
      </c>
      <c r="E300"/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</row>
    <row r="301" spans="1:13" x14ac:dyDescent="0.35">
      <c r="A301" t="s">
        <v>378</v>
      </c>
      <c r="B301">
        <v>0</v>
      </c>
      <c r="C301">
        <v>0</v>
      </c>
      <c r="D301">
        <v>0</v>
      </c>
      <c r="E301"/>
      <c r="F301">
        <v>0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 t="s">
        <v>260</v>
      </c>
      <c r="B302">
        <v>0</v>
      </c>
      <c r="C302">
        <v>0</v>
      </c>
      <c r="D302">
        <v>0</v>
      </c>
      <c r="E302"/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</row>
  </sheetData>
  <mergeCells count="2">
    <mergeCell ref="B1:G1"/>
    <mergeCell ref="H1:M1"/>
  </mergeCells>
  <pageMargins left="0.7" right="0.7" top="0.75" bottom="0.75" header="0.3" footer="0.3"/>
  <headerFooter>
    <oddFooter>&amp;L_x000D_&amp;1#&amp;"Aptos"&amp;7&amp;K000000 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EAC7-7C68-4D48-AAC1-1B92AB9344D1}">
  <dimension ref="A1:L33"/>
  <sheetViews>
    <sheetView topLeftCell="I1" workbookViewId="0">
      <selection activeCell="I7" sqref="I7"/>
    </sheetView>
  </sheetViews>
  <sheetFormatPr defaultRowHeight="14.5" x14ac:dyDescent="0.35"/>
  <cols>
    <col min="1" max="1" width="26.36328125" bestFit="1" customWidth="1"/>
    <col min="2" max="2" width="106.6328125" bestFit="1" customWidth="1"/>
    <col min="3" max="3" width="12.26953125" bestFit="1" customWidth="1"/>
    <col min="4" max="4" width="13.26953125" bestFit="1" customWidth="1"/>
    <col min="5" max="5" width="17.6328125" bestFit="1" customWidth="1"/>
    <col min="6" max="6" width="18.54296875" bestFit="1" customWidth="1"/>
    <col min="7" max="7" width="13.453125" bestFit="1" customWidth="1"/>
    <col min="8" max="8" width="14.36328125" bestFit="1" customWidth="1"/>
    <col min="9" max="9" width="27.6328125" bestFit="1" customWidth="1"/>
    <col min="10" max="10" width="28.54296875" bestFit="1" customWidth="1"/>
    <col min="11" max="11" width="28" bestFit="1" customWidth="1"/>
    <col min="12" max="12" width="28.90625" bestFit="1" customWidth="1"/>
  </cols>
  <sheetData>
    <row r="1" spans="1:12" x14ac:dyDescent="0.35">
      <c r="A1" t="s">
        <v>390</v>
      </c>
      <c r="B1" t="s">
        <v>391</v>
      </c>
      <c r="C1" t="s">
        <v>770</v>
      </c>
      <c r="D1" t="s">
        <v>771</v>
      </c>
      <c r="E1" t="s">
        <v>772</v>
      </c>
      <c r="F1" t="s">
        <v>773</v>
      </c>
      <c r="G1" t="s">
        <v>774</v>
      </c>
      <c r="H1" t="s">
        <v>775</v>
      </c>
      <c r="I1" t="s">
        <v>776</v>
      </c>
      <c r="J1" t="s">
        <v>777</v>
      </c>
      <c r="K1" t="s">
        <v>778</v>
      </c>
      <c r="L1" t="s">
        <v>779</v>
      </c>
    </row>
    <row r="2" spans="1:12" x14ac:dyDescent="0.35">
      <c r="A2" t="s">
        <v>386</v>
      </c>
      <c r="B2" t="s">
        <v>392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181</v>
      </c>
      <c r="J2">
        <v>326</v>
      </c>
      <c r="K2">
        <v>11</v>
      </c>
      <c r="L2">
        <v>7</v>
      </c>
    </row>
    <row r="3" spans="1:12" x14ac:dyDescent="0.35">
      <c r="A3" t="s">
        <v>387</v>
      </c>
      <c r="B3" t="s">
        <v>392</v>
      </c>
      <c r="C3">
        <v>653</v>
      </c>
      <c r="D3">
        <v>1140</v>
      </c>
      <c r="E3">
        <v>32</v>
      </c>
      <c r="F3">
        <v>34</v>
      </c>
      <c r="G3">
        <v>7</v>
      </c>
      <c r="H3">
        <v>10</v>
      </c>
      <c r="I3">
        <v>54</v>
      </c>
      <c r="J3">
        <v>124</v>
      </c>
      <c r="K3">
        <v>4</v>
      </c>
      <c r="L3">
        <v>8</v>
      </c>
    </row>
    <row r="4" spans="1:12" x14ac:dyDescent="0.35">
      <c r="A4" t="s">
        <v>386</v>
      </c>
      <c r="B4" t="s">
        <v>780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</v>
      </c>
      <c r="J4">
        <v>11</v>
      </c>
      <c r="K4">
        <v>0</v>
      </c>
      <c r="L4">
        <v>0</v>
      </c>
    </row>
    <row r="5" spans="1:12" x14ac:dyDescent="0.35">
      <c r="A5" t="s">
        <v>386</v>
      </c>
      <c r="B5" t="s">
        <v>394</v>
      </c>
      <c r="C5">
        <v>18213</v>
      </c>
      <c r="D5">
        <v>14994</v>
      </c>
      <c r="E5">
        <v>3161</v>
      </c>
      <c r="F5">
        <v>100</v>
      </c>
      <c r="G5">
        <v>21</v>
      </c>
      <c r="H5">
        <v>11</v>
      </c>
      <c r="I5">
        <v>15</v>
      </c>
      <c r="J5">
        <v>23</v>
      </c>
      <c r="K5">
        <v>0</v>
      </c>
      <c r="L5">
        <v>1</v>
      </c>
    </row>
    <row r="6" spans="1:12" x14ac:dyDescent="0.35">
      <c r="A6" t="s">
        <v>387</v>
      </c>
      <c r="B6" t="s">
        <v>781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13</v>
      </c>
      <c r="J6">
        <v>9</v>
      </c>
      <c r="K6">
        <v>0</v>
      </c>
      <c r="L6">
        <v>0</v>
      </c>
    </row>
    <row r="7" spans="1:12" x14ac:dyDescent="0.35">
      <c r="A7" t="s">
        <v>387</v>
      </c>
      <c r="B7" t="s">
        <v>397</v>
      </c>
      <c r="C7">
        <v>13172</v>
      </c>
      <c r="D7">
        <v>15357</v>
      </c>
      <c r="E7">
        <v>964</v>
      </c>
      <c r="F7">
        <v>612</v>
      </c>
      <c r="G7">
        <v>135</v>
      </c>
      <c r="H7">
        <v>183</v>
      </c>
      <c r="I7">
        <v>12</v>
      </c>
      <c r="J7">
        <v>10</v>
      </c>
      <c r="K7">
        <v>0</v>
      </c>
      <c r="L7">
        <v>0</v>
      </c>
    </row>
    <row r="8" spans="1:12" x14ac:dyDescent="0.35">
      <c r="A8" t="s">
        <v>393</v>
      </c>
      <c r="B8" t="s">
        <v>394</v>
      </c>
      <c r="C8">
        <v>249</v>
      </c>
      <c r="D8">
        <v>355</v>
      </c>
      <c r="E8">
        <v>29</v>
      </c>
      <c r="F8">
        <v>26</v>
      </c>
      <c r="G8">
        <v>5</v>
      </c>
      <c r="H8">
        <v>9</v>
      </c>
      <c r="I8">
        <v>9</v>
      </c>
      <c r="J8">
        <v>27</v>
      </c>
      <c r="K8">
        <v>0</v>
      </c>
      <c r="L8">
        <v>2</v>
      </c>
    </row>
    <row r="9" spans="1:12" x14ac:dyDescent="0.35">
      <c r="A9" t="s">
        <v>386</v>
      </c>
      <c r="B9" t="s">
        <v>782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</v>
      </c>
      <c r="J9">
        <v>6</v>
      </c>
      <c r="K9">
        <v>1</v>
      </c>
      <c r="L9">
        <v>1</v>
      </c>
    </row>
    <row r="10" spans="1:12" x14ac:dyDescent="0.35">
      <c r="A10" t="s">
        <v>783</v>
      </c>
      <c r="B10" t="s">
        <v>784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</v>
      </c>
      <c r="J10">
        <v>9</v>
      </c>
      <c r="K10">
        <v>0</v>
      </c>
      <c r="L10">
        <v>0</v>
      </c>
    </row>
    <row r="11" spans="1:12" x14ac:dyDescent="0.35">
      <c r="A11" t="s">
        <v>783</v>
      </c>
      <c r="B11" t="s">
        <v>785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13</v>
      </c>
      <c r="K11">
        <v>2</v>
      </c>
      <c r="L11">
        <v>0</v>
      </c>
    </row>
    <row r="12" spans="1:12" x14ac:dyDescent="0.35">
      <c r="A12" t="s">
        <v>388</v>
      </c>
      <c r="B12" t="s">
        <v>402</v>
      </c>
      <c r="C12">
        <v>5025</v>
      </c>
      <c r="D12">
        <v>7292</v>
      </c>
      <c r="E12">
        <v>10</v>
      </c>
      <c r="F12">
        <v>3</v>
      </c>
      <c r="G12">
        <v>1</v>
      </c>
      <c r="H12">
        <v>2</v>
      </c>
      <c r="I12">
        <v>5</v>
      </c>
      <c r="J12">
        <v>1</v>
      </c>
      <c r="K12">
        <v>1</v>
      </c>
      <c r="L12">
        <v>0</v>
      </c>
    </row>
    <row r="13" spans="1:12" x14ac:dyDescent="0.35">
      <c r="A13" t="s">
        <v>786</v>
      </c>
      <c r="B13" t="s">
        <v>787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0</v>
      </c>
      <c r="L13">
        <v>0</v>
      </c>
    </row>
    <row r="14" spans="1:12" x14ac:dyDescent="0.35">
      <c r="A14" t="s">
        <v>387</v>
      </c>
      <c r="B14" t="s">
        <v>788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  <c r="J14">
        <v>15</v>
      </c>
      <c r="K14">
        <v>0</v>
      </c>
      <c r="L14">
        <v>1</v>
      </c>
    </row>
    <row r="15" spans="1:12" x14ac:dyDescent="0.35">
      <c r="A15" t="s">
        <v>387</v>
      </c>
      <c r="B15" t="s">
        <v>394</v>
      </c>
      <c r="C15">
        <v>15803</v>
      </c>
      <c r="D15">
        <v>13638</v>
      </c>
      <c r="E15">
        <v>1074</v>
      </c>
      <c r="F15">
        <v>525</v>
      </c>
      <c r="G15">
        <v>158</v>
      </c>
      <c r="H15">
        <v>160</v>
      </c>
      <c r="I15">
        <v>4</v>
      </c>
      <c r="J15">
        <v>14</v>
      </c>
      <c r="K15">
        <v>0</v>
      </c>
      <c r="L15">
        <v>1</v>
      </c>
    </row>
    <row r="16" spans="1:12" x14ac:dyDescent="0.35">
      <c r="A16" t="s">
        <v>389</v>
      </c>
      <c r="B16" t="s">
        <v>396</v>
      </c>
      <c r="C16">
        <v>298254</v>
      </c>
      <c r="D16">
        <v>304254</v>
      </c>
      <c r="E16">
        <v>1513</v>
      </c>
      <c r="F16">
        <v>974</v>
      </c>
      <c r="G16">
        <v>320</v>
      </c>
      <c r="H16">
        <v>345</v>
      </c>
      <c r="I16">
        <v>3</v>
      </c>
      <c r="J16">
        <v>8</v>
      </c>
      <c r="K16">
        <v>0</v>
      </c>
      <c r="L16">
        <v>0</v>
      </c>
    </row>
    <row r="17" spans="1:12" x14ac:dyDescent="0.35">
      <c r="A17" t="s">
        <v>789</v>
      </c>
      <c r="B17" t="s">
        <v>790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4</v>
      </c>
      <c r="K17">
        <v>0</v>
      </c>
      <c r="L17">
        <v>0</v>
      </c>
    </row>
    <row r="18" spans="1:12" x14ac:dyDescent="0.35">
      <c r="A18" t="s">
        <v>388</v>
      </c>
      <c r="B18" t="s">
        <v>791</v>
      </c>
      <c r="C18">
        <v>7401</v>
      </c>
      <c r="D18">
        <v>10370</v>
      </c>
      <c r="E18">
        <v>17</v>
      </c>
      <c r="F18">
        <v>11</v>
      </c>
      <c r="G18">
        <v>5</v>
      </c>
      <c r="H18">
        <v>3</v>
      </c>
      <c r="I18">
        <v>3</v>
      </c>
      <c r="J18">
        <v>0</v>
      </c>
      <c r="K18">
        <v>0</v>
      </c>
      <c r="L18">
        <v>0</v>
      </c>
    </row>
    <row r="19" spans="1:12" x14ac:dyDescent="0.35">
      <c r="A19" t="s">
        <v>388</v>
      </c>
      <c r="B19" t="s">
        <v>399</v>
      </c>
      <c r="C19">
        <v>7501</v>
      </c>
      <c r="D19">
        <v>10649</v>
      </c>
      <c r="E19">
        <v>14</v>
      </c>
      <c r="F19">
        <v>8</v>
      </c>
      <c r="G19">
        <v>3</v>
      </c>
      <c r="H19">
        <v>4</v>
      </c>
      <c r="I19">
        <v>3</v>
      </c>
      <c r="J19">
        <v>5</v>
      </c>
      <c r="K19">
        <v>0</v>
      </c>
      <c r="L19">
        <v>0</v>
      </c>
    </row>
    <row r="20" spans="1:12" x14ac:dyDescent="0.35">
      <c r="A20" t="s">
        <v>388</v>
      </c>
      <c r="B20" t="s">
        <v>401</v>
      </c>
      <c r="C20">
        <v>11691</v>
      </c>
      <c r="D20">
        <v>21782</v>
      </c>
      <c r="E20">
        <v>18</v>
      </c>
      <c r="F20">
        <v>27</v>
      </c>
      <c r="G20">
        <v>5</v>
      </c>
      <c r="H20">
        <v>10</v>
      </c>
      <c r="I20">
        <v>3</v>
      </c>
      <c r="J20">
        <v>3</v>
      </c>
      <c r="K20">
        <v>0</v>
      </c>
      <c r="L20">
        <v>0</v>
      </c>
    </row>
    <row r="21" spans="1:12" x14ac:dyDescent="0.35">
      <c r="A21" t="s">
        <v>792</v>
      </c>
      <c r="B21" t="s">
        <v>793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</row>
    <row r="22" spans="1:12" x14ac:dyDescent="0.35">
      <c r="A22" t="s">
        <v>386</v>
      </c>
      <c r="B22" t="s">
        <v>395</v>
      </c>
      <c r="C22">
        <v>21167</v>
      </c>
      <c r="D22">
        <v>19573</v>
      </c>
      <c r="E22">
        <v>3424</v>
      </c>
      <c r="F22">
        <v>139</v>
      </c>
      <c r="G22">
        <v>32</v>
      </c>
      <c r="H22">
        <v>11</v>
      </c>
      <c r="I22">
        <v>2</v>
      </c>
      <c r="J22">
        <v>27</v>
      </c>
      <c r="K22">
        <v>0</v>
      </c>
      <c r="L22">
        <v>1</v>
      </c>
    </row>
    <row r="23" spans="1:12" x14ac:dyDescent="0.35">
      <c r="A23" t="s">
        <v>794</v>
      </c>
      <c r="B23" t="s">
        <v>795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9</v>
      </c>
      <c r="K23">
        <v>0</v>
      </c>
      <c r="L23">
        <v>0</v>
      </c>
    </row>
    <row r="24" spans="1:12" x14ac:dyDescent="0.35">
      <c r="A24" t="s">
        <v>388</v>
      </c>
      <c r="B24" t="s">
        <v>398</v>
      </c>
      <c r="C24">
        <v>5898</v>
      </c>
      <c r="D24">
        <v>8548</v>
      </c>
      <c r="E24">
        <v>12</v>
      </c>
      <c r="F24">
        <v>10</v>
      </c>
      <c r="G24">
        <v>4</v>
      </c>
      <c r="H24">
        <v>0</v>
      </c>
      <c r="I24">
        <v>2</v>
      </c>
      <c r="J24">
        <v>8</v>
      </c>
      <c r="K24">
        <v>0</v>
      </c>
      <c r="L24">
        <v>0</v>
      </c>
    </row>
    <row r="25" spans="1:12" x14ac:dyDescent="0.35">
      <c r="A25" t="s">
        <v>386</v>
      </c>
      <c r="B25" t="s">
        <v>796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2</v>
      </c>
      <c r="K25">
        <v>0</v>
      </c>
      <c r="L25">
        <v>0</v>
      </c>
    </row>
    <row r="26" spans="1:12" x14ac:dyDescent="0.35">
      <c r="A26" t="s">
        <v>797</v>
      </c>
      <c r="B26" t="s">
        <v>798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3</v>
      </c>
      <c r="K26">
        <v>0</v>
      </c>
      <c r="L26">
        <v>0</v>
      </c>
    </row>
    <row r="27" spans="1:12" x14ac:dyDescent="0.35">
      <c r="A27" t="s">
        <v>797</v>
      </c>
      <c r="B27" t="s">
        <v>799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</row>
    <row r="28" spans="1:12" x14ac:dyDescent="0.35">
      <c r="A28" t="s">
        <v>800</v>
      </c>
      <c r="B28" t="s">
        <v>801</v>
      </c>
      <c r="C28">
        <v>6</v>
      </c>
      <c r="D28">
        <v>2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</row>
    <row r="29" spans="1:12" x14ac:dyDescent="0.35">
      <c r="A29" t="s">
        <v>802</v>
      </c>
      <c r="B29" t="s">
        <v>803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</row>
    <row r="30" spans="1:12" x14ac:dyDescent="0.35">
      <c r="A30" t="s">
        <v>783</v>
      </c>
      <c r="B30" t="s">
        <v>804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4</v>
      </c>
      <c r="K30">
        <v>0</v>
      </c>
      <c r="L30">
        <v>0</v>
      </c>
    </row>
    <row r="31" spans="1:12" x14ac:dyDescent="0.35">
      <c r="A31" t="s">
        <v>387</v>
      </c>
      <c r="B31" t="s">
        <v>805</v>
      </c>
      <c r="C31">
        <v>3</v>
      </c>
      <c r="D31">
        <v>7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</row>
    <row r="32" spans="1:12" x14ac:dyDescent="0.35">
      <c r="A32" t="s">
        <v>388</v>
      </c>
      <c r="B32" t="s">
        <v>400</v>
      </c>
      <c r="C32">
        <v>12641</v>
      </c>
      <c r="D32">
        <v>28602</v>
      </c>
      <c r="E32">
        <v>20</v>
      </c>
      <c r="F32">
        <v>48</v>
      </c>
      <c r="G32">
        <v>4</v>
      </c>
      <c r="H32">
        <v>20</v>
      </c>
      <c r="I32">
        <v>1</v>
      </c>
      <c r="J32">
        <v>2</v>
      </c>
      <c r="K32">
        <v>0</v>
      </c>
      <c r="L32">
        <v>0</v>
      </c>
    </row>
    <row r="33" spans="1:12" x14ac:dyDescent="0.35">
      <c r="A33" t="s">
        <v>388</v>
      </c>
      <c r="B33" t="s">
        <v>806</v>
      </c>
      <c r="C33">
        <v>5774</v>
      </c>
      <c r="D33">
        <v>8636</v>
      </c>
      <c r="E33">
        <v>14</v>
      </c>
      <c r="F33">
        <v>8</v>
      </c>
      <c r="G33">
        <v>4</v>
      </c>
      <c r="H33">
        <v>0</v>
      </c>
      <c r="I33">
        <v>1</v>
      </c>
      <c r="J33">
        <v>0</v>
      </c>
      <c r="K33">
        <v>0</v>
      </c>
      <c r="L3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5FB4-1AC0-4BF3-8FAB-8DEAD9D2BB6F}">
  <dimension ref="A1:D25"/>
  <sheetViews>
    <sheetView topLeftCell="A5" workbookViewId="0">
      <selection activeCell="A15" sqref="A15"/>
    </sheetView>
  </sheetViews>
  <sheetFormatPr defaultRowHeight="14.5" x14ac:dyDescent="0.35"/>
  <cols>
    <col min="1" max="1" width="82.7265625" bestFit="1" customWidth="1"/>
    <col min="2" max="2" width="9.7265625" bestFit="1" customWidth="1"/>
    <col min="3" max="3" width="10.6328125" bestFit="1" customWidth="1"/>
  </cols>
  <sheetData>
    <row r="1" spans="1:4" x14ac:dyDescent="0.35">
      <c r="A1" t="s">
        <v>287</v>
      </c>
      <c r="B1" t="s">
        <v>14</v>
      </c>
      <c r="C1" t="s">
        <v>385</v>
      </c>
      <c r="D1" t="s">
        <v>16</v>
      </c>
    </row>
    <row r="2" spans="1:4" x14ac:dyDescent="0.35">
      <c r="A2" t="s">
        <v>269</v>
      </c>
      <c r="B2">
        <v>472</v>
      </c>
      <c r="C2">
        <v>46688</v>
      </c>
      <c r="D2" s="1">
        <f>(B2-C2)/C2</f>
        <v>-0.98989033584647024</v>
      </c>
    </row>
    <row r="3" spans="1:4" x14ac:dyDescent="0.35">
      <c r="A3" t="s">
        <v>279</v>
      </c>
      <c r="B3">
        <v>165</v>
      </c>
      <c r="C3">
        <v>31393</v>
      </c>
      <c r="D3" s="1">
        <f t="shared" ref="D3:D25" si="0">(B3-C3)/C3</f>
        <v>-0.99474405122160992</v>
      </c>
    </row>
    <row r="4" spans="1:4" x14ac:dyDescent="0.35">
      <c r="A4" t="s">
        <v>272</v>
      </c>
      <c r="B4">
        <v>16361</v>
      </c>
      <c r="C4">
        <v>14427</v>
      </c>
      <c r="D4" s="1">
        <f t="shared" si="0"/>
        <v>0.13405420392319956</v>
      </c>
    </row>
    <row r="5" spans="1:4" x14ac:dyDescent="0.35">
      <c r="A5" t="s">
        <v>379</v>
      </c>
      <c r="B5">
        <v>22701</v>
      </c>
      <c r="C5">
        <v>13225</v>
      </c>
      <c r="D5" s="1">
        <f t="shared" si="0"/>
        <v>0.71652173913043482</v>
      </c>
    </row>
    <row r="6" spans="1:4" x14ac:dyDescent="0.35">
      <c r="A6" t="s">
        <v>271</v>
      </c>
      <c r="B6">
        <v>0</v>
      </c>
      <c r="C6">
        <v>7330</v>
      </c>
      <c r="D6" s="1">
        <f t="shared" si="0"/>
        <v>-1</v>
      </c>
    </row>
    <row r="7" spans="1:4" x14ac:dyDescent="0.35">
      <c r="A7" t="s">
        <v>380</v>
      </c>
      <c r="B7">
        <v>6456</v>
      </c>
      <c r="C7">
        <v>4010</v>
      </c>
      <c r="D7" s="1">
        <f t="shared" si="0"/>
        <v>0.60997506234413967</v>
      </c>
    </row>
    <row r="8" spans="1:4" x14ac:dyDescent="0.35">
      <c r="A8" t="s">
        <v>381</v>
      </c>
      <c r="B8">
        <v>69</v>
      </c>
      <c r="C8">
        <v>3823</v>
      </c>
      <c r="D8" s="1">
        <f t="shared" si="0"/>
        <v>-0.98195134710959975</v>
      </c>
    </row>
    <row r="9" spans="1:4" x14ac:dyDescent="0.35">
      <c r="A9" t="s">
        <v>274</v>
      </c>
      <c r="B9">
        <v>3689</v>
      </c>
      <c r="C9">
        <v>3277</v>
      </c>
      <c r="D9" s="1">
        <f t="shared" si="0"/>
        <v>0.12572474824534635</v>
      </c>
    </row>
    <row r="10" spans="1:4" x14ac:dyDescent="0.35">
      <c r="A10" t="s">
        <v>273</v>
      </c>
      <c r="B10">
        <v>56</v>
      </c>
      <c r="C10">
        <v>2359</v>
      </c>
      <c r="D10" s="1">
        <f t="shared" si="0"/>
        <v>-0.97626112759643913</v>
      </c>
    </row>
    <row r="11" spans="1:4" x14ac:dyDescent="0.35">
      <c r="A11" t="s">
        <v>276</v>
      </c>
      <c r="B11">
        <v>1797</v>
      </c>
      <c r="C11">
        <v>2183</v>
      </c>
      <c r="D11" s="1">
        <f t="shared" si="0"/>
        <v>-0.17682088868529547</v>
      </c>
    </row>
    <row r="12" spans="1:4" x14ac:dyDescent="0.35">
      <c r="A12" t="s">
        <v>275</v>
      </c>
      <c r="B12">
        <v>2019</v>
      </c>
      <c r="C12">
        <v>1714</v>
      </c>
      <c r="D12" s="1">
        <f t="shared" si="0"/>
        <v>0.17794632438739791</v>
      </c>
    </row>
    <row r="13" spans="1:4" x14ac:dyDescent="0.35">
      <c r="A13" t="s">
        <v>284</v>
      </c>
      <c r="B13">
        <v>986</v>
      </c>
      <c r="C13">
        <v>1519</v>
      </c>
      <c r="D13" s="1">
        <f t="shared" si="0"/>
        <v>-0.3508887425938117</v>
      </c>
    </row>
    <row r="14" spans="1:4" x14ac:dyDescent="0.35">
      <c r="A14" t="s">
        <v>277</v>
      </c>
      <c r="B14">
        <v>4247</v>
      </c>
      <c r="C14">
        <v>1512</v>
      </c>
      <c r="D14" s="1">
        <f t="shared" si="0"/>
        <v>1.8088624338624339</v>
      </c>
    </row>
    <row r="15" spans="1:4" x14ac:dyDescent="0.35">
      <c r="A15" t="s">
        <v>278</v>
      </c>
      <c r="B15">
        <v>5307</v>
      </c>
      <c r="C15">
        <v>1354</v>
      </c>
      <c r="D15" s="1">
        <f t="shared" si="0"/>
        <v>2.9194977843426884</v>
      </c>
    </row>
    <row r="16" spans="1:4" x14ac:dyDescent="0.35">
      <c r="A16" t="s">
        <v>285</v>
      </c>
      <c r="B16">
        <v>968</v>
      </c>
      <c r="C16">
        <v>1347</v>
      </c>
      <c r="D16" s="1">
        <f t="shared" si="0"/>
        <v>-0.28136599851521898</v>
      </c>
    </row>
    <row r="17" spans="1:4" x14ac:dyDescent="0.35">
      <c r="A17" t="s">
        <v>270</v>
      </c>
      <c r="B17">
        <v>4980</v>
      </c>
      <c r="C17">
        <v>1271</v>
      </c>
      <c r="D17" s="1">
        <f t="shared" si="0"/>
        <v>2.9181746656176237</v>
      </c>
    </row>
    <row r="18" spans="1:4" x14ac:dyDescent="0.35">
      <c r="A18" t="s">
        <v>286</v>
      </c>
      <c r="B18">
        <v>301</v>
      </c>
      <c r="C18">
        <v>556</v>
      </c>
      <c r="D18" s="1">
        <f t="shared" si="0"/>
        <v>-0.45863309352517984</v>
      </c>
    </row>
    <row r="19" spans="1:4" x14ac:dyDescent="0.35">
      <c r="A19" t="s">
        <v>281</v>
      </c>
      <c r="B19">
        <v>653</v>
      </c>
      <c r="C19">
        <v>539</v>
      </c>
      <c r="D19" s="1">
        <f t="shared" si="0"/>
        <v>0.21150278293135436</v>
      </c>
    </row>
    <row r="20" spans="1:4" x14ac:dyDescent="0.35">
      <c r="A20" t="s">
        <v>382</v>
      </c>
      <c r="B20">
        <v>136</v>
      </c>
      <c r="C20">
        <v>334</v>
      </c>
      <c r="D20" s="1">
        <f t="shared" si="0"/>
        <v>-0.59281437125748504</v>
      </c>
    </row>
    <row r="21" spans="1:4" x14ac:dyDescent="0.35">
      <c r="A21" t="s">
        <v>280</v>
      </c>
      <c r="B21">
        <v>34</v>
      </c>
      <c r="C21">
        <v>249</v>
      </c>
      <c r="D21" s="1">
        <f t="shared" si="0"/>
        <v>-0.86345381526104414</v>
      </c>
    </row>
    <row r="22" spans="1:4" x14ac:dyDescent="0.35">
      <c r="A22" t="s">
        <v>282</v>
      </c>
      <c r="B22">
        <v>0</v>
      </c>
      <c r="C22">
        <v>233</v>
      </c>
      <c r="D22" s="1">
        <f t="shared" si="0"/>
        <v>-1</v>
      </c>
    </row>
    <row r="23" spans="1:4" x14ac:dyDescent="0.35">
      <c r="A23" t="s">
        <v>283</v>
      </c>
      <c r="B23">
        <v>71</v>
      </c>
      <c r="C23">
        <v>181</v>
      </c>
      <c r="D23" s="1">
        <f t="shared" si="0"/>
        <v>-0.60773480662983426</v>
      </c>
    </row>
    <row r="24" spans="1:4" x14ac:dyDescent="0.35">
      <c r="A24" t="s">
        <v>383</v>
      </c>
      <c r="B24">
        <v>64</v>
      </c>
      <c r="C24">
        <v>154</v>
      </c>
      <c r="D24" s="1">
        <f t="shared" si="0"/>
        <v>-0.58441558441558439</v>
      </c>
    </row>
    <row r="25" spans="1:4" x14ac:dyDescent="0.35">
      <c r="A25" t="s">
        <v>384</v>
      </c>
      <c r="B25">
        <v>276</v>
      </c>
      <c r="C25">
        <v>144</v>
      </c>
      <c r="D25" s="1">
        <f t="shared" si="0"/>
        <v>0.91666666666666663</v>
      </c>
    </row>
  </sheetData>
  <conditionalFormatting sqref="D2:D25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A5B7-7B05-4872-8B96-901361ABA9FF}">
  <dimension ref="A1:D5"/>
  <sheetViews>
    <sheetView workbookViewId="0">
      <selection activeCell="D9" sqref="D9"/>
    </sheetView>
  </sheetViews>
  <sheetFormatPr defaultRowHeight="14.5" x14ac:dyDescent="0.35"/>
  <cols>
    <col min="1" max="1" width="11.54296875" bestFit="1" customWidth="1"/>
    <col min="3" max="3" width="8.90625" bestFit="1" customWidth="1"/>
    <col min="4" max="4" width="19.54296875" bestFit="1" customWidth="1"/>
  </cols>
  <sheetData>
    <row r="1" spans="1:4" x14ac:dyDescent="0.35">
      <c r="A1" t="s">
        <v>4</v>
      </c>
      <c r="B1" t="s">
        <v>2</v>
      </c>
      <c r="C1" t="s">
        <v>288</v>
      </c>
      <c r="D1" t="s">
        <v>289</v>
      </c>
    </row>
    <row r="2" spans="1:4" x14ac:dyDescent="0.35">
      <c r="A2" t="s">
        <v>0</v>
      </c>
      <c r="B2">
        <v>315378</v>
      </c>
      <c r="C2">
        <v>6216</v>
      </c>
      <c r="D2" s="4">
        <f>C2/B2</f>
        <v>1.9709681715275002E-2</v>
      </c>
    </row>
    <row r="3" spans="1:4" x14ac:dyDescent="0.35">
      <c r="A3" t="s">
        <v>1</v>
      </c>
      <c r="B3">
        <v>362314</v>
      </c>
      <c r="C3">
        <v>10983</v>
      </c>
      <c r="D3" s="4">
        <f>C3/B3</f>
        <v>3.0313484988159441E-2</v>
      </c>
    </row>
    <row r="5" spans="1:4" x14ac:dyDescent="0.35">
      <c r="B5" s="4">
        <f>(B2-B3)/B3</f>
        <v>-0.12954509072241205</v>
      </c>
      <c r="C5" s="4">
        <f>(C2-C3)/C3</f>
        <v>-0.4340344168260038</v>
      </c>
      <c r="D5" s="4">
        <f>D2-D3</f>
        <v>-1.0603803272884439E-2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AC97-9AFB-4D59-9704-96CBC54027D1}">
  <dimension ref="A1:G9"/>
  <sheetViews>
    <sheetView tabSelected="1" workbookViewId="0">
      <selection activeCell="D3" sqref="D3"/>
    </sheetView>
  </sheetViews>
  <sheetFormatPr defaultRowHeight="14.5" x14ac:dyDescent="0.35"/>
  <cols>
    <col min="1" max="1" width="38.26953125" bestFit="1" customWidth="1"/>
    <col min="2" max="2" width="9.7265625" bestFit="1" customWidth="1"/>
    <col min="3" max="3" width="11.54296875" bestFit="1" customWidth="1"/>
    <col min="4" max="4" width="10.36328125" bestFit="1" customWidth="1"/>
    <col min="5" max="5" width="11.54296875" bestFit="1" customWidth="1"/>
    <col min="7" max="7" width="8.7265625" style="1"/>
  </cols>
  <sheetData>
    <row r="1" spans="1:7" x14ac:dyDescent="0.35">
      <c r="A1" t="s">
        <v>13</v>
      </c>
      <c r="B1" t="s">
        <v>14</v>
      </c>
      <c r="C1" t="s">
        <v>15</v>
      </c>
      <c r="D1" t="s">
        <v>14</v>
      </c>
      <c r="E1" t="s">
        <v>15</v>
      </c>
      <c r="F1" t="s">
        <v>16</v>
      </c>
    </row>
    <row r="2" spans="1:7" x14ac:dyDescent="0.35">
      <c r="A2" t="s">
        <v>290</v>
      </c>
      <c r="B2">
        <v>315378</v>
      </c>
      <c r="C2">
        <v>362314</v>
      </c>
      <c r="D2" s="1">
        <f>B3/B2</f>
        <v>0.43083220769996639</v>
      </c>
      <c r="E2" s="1">
        <f>C3/C2</f>
        <v>0.43613274673349633</v>
      </c>
      <c r="F2" s="1">
        <f>D2-E2</f>
        <v>-5.3005390335299496E-3</v>
      </c>
      <c r="G2" s="1">
        <f>(B2-C2)/C2</f>
        <v>-0.12954509072241205</v>
      </c>
    </row>
    <row r="3" spans="1:7" x14ac:dyDescent="0.35">
      <c r="A3" t="s">
        <v>291</v>
      </c>
      <c r="B3">
        <v>135875</v>
      </c>
      <c r="C3">
        <v>158017</v>
      </c>
      <c r="D3" s="1">
        <f t="shared" ref="D3:D5" si="0">B4/B3</f>
        <v>5.3696412143514262E-2</v>
      </c>
      <c r="E3" s="1">
        <f t="shared" ref="E3:E5" si="1">C4/C3</f>
        <v>0.34354531474461608</v>
      </c>
      <c r="F3" s="1">
        <f t="shared" ref="F3:F5" si="2">D3-E3</f>
        <v>-0.2898489026011018</v>
      </c>
      <c r="G3" s="1">
        <f t="shared" ref="G3:G5" si="3">(B3-C3)/C3</f>
        <v>-0.14012416385578766</v>
      </c>
    </row>
    <row r="4" spans="1:7" x14ac:dyDescent="0.35">
      <c r="A4" t="s">
        <v>292</v>
      </c>
      <c r="B4">
        <v>7296</v>
      </c>
      <c r="C4">
        <v>54286</v>
      </c>
      <c r="D4" s="1">
        <f t="shared" si="0"/>
        <v>0.85197368421052633</v>
      </c>
      <c r="E4" s="1">
        <f t="shared" si="1"/>
        <v>0.20231735622444091</v>
      </c>
      <c r="F4" s="1">
        <f t="shared" si="2"/>
        <v>0.64965632798608541</v>
      </c>
      <c r="G4" s="1">
        <f t="shared" si="3"/>
        <v>-0.86560070736469807</v>
      </c>
    </row>
    <row r="5" spans="1:7" x14ac:dyDescent="0.35">
      <c r="A5" t="s">
        <v>293</v>
      </c>
      <c r="B5">
        <v>6216</v>
      </c>
      <c r="C5">
        <v>10983</v>
      </c>
      <c r="D5" s="1">
        <f t="shared" si="0"/>
        <v>0</v>
      </c>
      <c r="E5" s="1">
        <f t="shared" si="1"/>
        <v>0</v>
      </c>
      <c r="F5" s="1">
        <f t="shared" si="2"/>
        <v>0</v>
      </c>
      <c r="G5" s="1">
        <f>(B5-C5)/C5</f>
        <v>-0.4340344168260038</v>
      </c>
    </row>
    <row r="7" spans="1:7" x14ac:dyDescent="0.35">
      <c r="B7" s="4">
        <f>B5/B2</f>
        <v>1.9709681715275002E-2</v>
      </c>
      <c r="C7" s="4">
        <f>C5/C2</f>
        <v>3.0313484988159441E-2</v>
      </c>
    </row>
    <row r="9" spans="1:7" x14ac:dyDescent="0.35">
      <c r="B9" s="4">
        <f>B7-C7</f>
        <v>-1.0603803272884439E-2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Journey Analytics</vt:lpstr>
      <vt:lpstr>Products</vt:lpstr>
      <vt:lpstr>Adjust</vt:lpstr>
      <vt:lpstr>Error Analytics</vt:lpstr>
      <vt:lpstr>Vodapay Club Overview</vt:lpstr>
      <vt:lpstr>Club Journey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Lakha, Vodacom</dc:creator>
  <cp:lastModifiedBy>Nikhil Lakha, Vodacom</cp:lastModifiedBy>
  <dcterms:created xsi:type="dcterms:W3CDTF">2026-08-02T09:03:35Z</dcterms:created>
  <dcterms:modified xsi:type="dcterms:W3CDTF">2026-10-05T07:47:20Z</dcterms:modified>
</cp:coreProperties>
</file>